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8C4F1C90-05EB-6A55-5F09-09C24B55AC0B}"/>
  <workbookPr codeName="ThisWorkbook"/>
  <workbookProtection lockStructure="1"/>
  <bookViews>
    <workbookView xWindow="0" yWindow="0" windowWidth="15570" windowHeight="7050" activeTab="1"/>
  </bookViews>
  <sheets>
    <sheet name="10.1 Payroll" sheetId="1" r:id="rId1"/>
    <sheet name="10.2 Revenue&amp;Expenditure" sheetId="2" r:id="rId2"/>
    <sheet name="SelectDept" sheetId="5" state="hidden" r:id="rId3"/>
    <sheet name="Level I_Departments" sheetId="6" state="hidden" r:id="rId4"/>
    <sheet name="Level IIandIII_Departments" sheetId="7" state="hidden" r:id="rId5"/>
  </sheets>
  <calcPr calcId="124519"/>
</workbook>
</file>

<file path=xl/calcChain.xml><?xml version="1.0" encoding="utf-8"?>
<calcChain xmlns="http://schemas.openxmlformats.org/spreadsheetml/2006/main">
  <c r="AK138" i="1"/>
  <c r="C131" i="2"/>
  <c r="C34"/>
  <c r="AK135" i="1"/>
  <c r="AK137"/>
  <c r="AK136"/>
  <c r="B56" i="5" l="1"/>
  <c r="B57"/>
  <c r="B58"/>
  <c r="B59"/>
  <c r="B60"/>
  <c r="B61"/>
  <c r="B62"/>
  <c r="B63"/>
  <c r="B64"/>
  <c r="B65"/>
  <c r="B66"/>
  <c r="B67"/>
  <c r="C4" i="7" l="1"/>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4" i="6"/>
  <c r="B2" i="5" s="1"/>
  <c r="C5" i="6"/>
  <c r="B3" i="5" s="1"/>
  <c r="C6" i="6"/>
  <c r="B4" i="5" s="1"/>
  <c r="C7" i="6"/>
  <c r="B5" i="5" s="1"/>
  <c r="C8" i="6"/>
  <c r="B6" i="5" s="1"/>
  <c r="C9" i="6"/>
  <c r="B7" i="5" s="1"/>
  <c r="C10" i="6"/>
  <c r="B8" i="5" s="1"/>
  <c r="C11" i="6"/>
  <c r="B9" i="5" s="1"/>
  <c r="C12" i="6"/>
  <c r="B10" i="5" s="1"/>
  <c r="C13" i="6"/>
  <c r="B11" i="5" s="1"/>
  <c r="C14" i="6"/>
  <c r="B12" i="5" s="1"/>
  <c r="C15" i="6"/>
  <c r="B13" i="5" s="1"/>
  <c r="C16" i="6"/>
  <c r="B14" i="5" s="1"/>
  <c r="C17" i="6"/>
  <c r="B15" i="5" s="1"/>
  <c r="C18" i="6"/>
  <c r="B16" i="5" s="1"/>
  <c r="C19" i="6"/>
  <c r="B17" i="5" s="1"/>
  <c r="C20" i="6"/>
  <c r="B18" i="5" s="1"/>
  <c r="C21" i="6"/>
  <c r="B19" i="5" s="1"/>
  <c r="C22" i="6"/>
  <c r="B20" i="5" s="1"/>
  <c r="C23" i="6"/>
  <c r="B21" i="5" s="1"/>
  <c r="C24" i="6"/>
  <c r="B22" i="5" s="1"/>
  <c r="C25" i="6"/>
  <c r="B23" i="5" s="1"/>
  <c r="C26" i="6"/>
  <c r="B24" i="5" s="1"/>
  <c r="C27" i="6"/>
  <c r="B25" i="5" s="1"/>
  <c r="C28" i="6"/>
  <c r="B26" i="5" s="1"/>
  <c r="C29" i="6"/>
  <c r="B27" i="5" s="1"/>
  <c r="C30" i="6"/>
  <c r="B28" i="5" s="1"/>
  <c r="C31" i="6"/>
  <c r="B29" i="5" s="1"/>
  <c r="C32" i="6"/>
  <c r="B30" i="5" s="1"/>
  <c r="C33" i="6"/>
  <c r="B31" i="5" s="1"/>
  <c r="C34" i="6"/>
  <c r="B32" i="5" s="1"/>
  <c r="C35" i="6"/>
  <c r="B33" i="5" s="1"/>
  <c r="C36" i="6"/>
  <c r="B34" i="5" s="1"/>
  <c r="C37" i="6"/>
  <c r="B35" i="5" s="1"/>
  <c r="C38" i="6"/>
  <c r="B36" i="5" s="1"/>
  <c r="C39" i="6"/>
  <c r="B37" i="5" s="1"/>
  <c r="C40" i="6"/>
  <c r="B38" i="5" s="1"/>
  <c r="C41" i="6"/>
  <c r="B39" i="5" s="1"/>
  <c r="C42" i="6"/>
  <c r="B40" i="5" s="1"/>
  <c r="C43" i="6"/>
  <c r="B41" i="5" s="1"/>
  <c r="C44" i="6"/>
  <c r="B42" i="5" s="1"/>
  <c r="C45" i="6"/>
  <c r="B43" i="5" s="1"/>
  <c r="C46" i="6"/>
  <c r="B44" i="5" s="1"/>
  <c r="C47" i="6"/>
  <c r="B45" i="5" s="1"/>
  <c r="C48" i="6"/>
  <c r="B46" i="5" s="1"/>
  <c r="C49" i="6"/>
  <c r="B47" i="5" s="1"/>
  <c r="C50" i="6"/>
  <c r="B48" i="5" s="1"/>
  <c r="C51" i="6"/>
  <c r="B49" i="5" s="1"/>
  <c r="C52" i="6"/>
  <c r="B50" i="5" s="1"/>
  <c r="C53" i="6"/>
  <c r="B51" i="5" s="1"/>
  <c r="C54" i="6"/>
  <c r="B52" i="5" s="1"/>
  <c r="C55" i="6"/>
  <c r="B53" i="5" s="1"/>
  <c r="C56" i="6"/>
  <c r="B54" i="5" s="1"/>
  <c r="C57" i="6"/>
  <c r="B55" i="5" s="1"/>
  <c r="A3"/>
  <c r="A4" s="1"/>
  <c r="A5" s="1"/>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alcChain>
</file>

<file path=xl/sharedStrings.xml><?xml version="1.0" encoding="utf-8"?>
<sst xmlns="http://schemas.openxmlformats.org/spreadsheetml/2006/main" count="2191" uniqueCount="427">
  <si>
    <t>Hospital Revenue and Expenditure</t>
  </si>
  <si>
    <t xml:space="preserve">Personnel Services Cost </t>
  </si>
  <si>
    <r>
      <rPr>
        <b/>
        <sz val="10"/>
        <color rgb="FF000000"/>
        <rFont val="Arial Narrow"/>
        <family val="2"/>
      </rPr>
      <t>Objective</t>
    </r>
    <r>
      <rPr>
        <sz val="10"/>
        <color rgb="FF000000"/>
        <rFont val="Arial Narrow"/>
        <family val="2"/>
      </rPr>
      <t xml:space="preserve">: Obtain cost of all personnel services per each department and unit </t>
    </r>
  </si>
  <si>
    <r>
      <rPr>
        <b/>
        <sz val="10"/>
        <color rgb="FF000000"/>
        <rFont val="Arial Narrow"/>
        <family val="2"/>
      </rPr>
      <t>Data collector:</t>
    </r>
    <r>
      <rPr>
        <sz val="10"/>
        <color rgb="FF000000"/>
        <rFont val="Arial Narrow"/>
        <family val="2"/>
      </rPr>
      <t xml:space="preserve"> Accounting officer/Accounting officer in charge of payroll</t>
    </r>
  </si>
  <si>
    <r>
      <rPr>
        <b/>
        <sz val="10"/>
        <color rgb="FF000000"/>
        <rFont val="Arial Narrow"/>
        <family val="2"/>
      </rPr>
      <t>Instructions:</t>
    </r>
    <r>
      <rPr>
        <sz val="10"/>
        <color rgb="FF000000"/>
        <rFont val="Arial Narrow"/>
        <family val="2"/>
      </rPr>
      <t xml:space="preserve"> Only insert staff/personnel/emplyees rendered services during time period of data collection. Fill in table with </t>
    </r>
    <r>
      <rPr>
        <b/>
        <sz val="10"/>
        <color rgb="FF000000"/>
        <rFont val="Arial Narrow"/>
        <family val="2"/>
      </rPr>
      <t>monthly</t>
    </r>
    <r>
      <rPr>
        <sz val="10"/>
        <color rgb="FF000000"/>
        <rFont val="Arial Narrow"/>
        <family val="2"/>
      </rPr>
      <t xml:space="preserve"> details. Please add rows if necessary.</t>
    </r>
  </si>
  <si>
    <t>#</t>
  </si>
  <si>
    <t>Time period covered for: 2017  (peso)</t>
  </si>
  <si>
    <t xml:space="preserve">1.0 DOH/LGU subsidy income </t>
  </si>
  <si>
    <t>2.0 Philhealth reimbursement</t>
  </si>
  <si>
    <t>3.0 Hospital business income:</t>
  </si>
  <si>
    <t xml:space="preserve">3.1. Fees/charges: </t>
  </si>
  <si>
    <t>Clearance and certification fees</t>
  </si>
  <si>
    <t>Name</t>
  </si>
  <si>
    <t>Position</t>
  </si>
  <si>
    <t>Department/Unit</t>
  </si>
  <si>
    <t>Full Time or Part Time?</t>
  </si>
  <si>
    <t>Status of employment (Permanent, Contractual,JO)</t>
  </si>
  <si>
    <t>Monthly Salaries and Wages-Regular and Casual/Contractual</t>
  </si>
  <si>
    <t>Personal Economic Relief Allowance (PERA)</t>
  </si>
  <si>
    <t>Representation Allowance (RA)</t>
  </si>
  <si>
    <t>Transportation Allowance (TA)</t>
  </si>
  <si>
    <t>Clothing/Uniform Allowance</t>
  </si>
  <si>
    <t>Subsistence Allowance</t>
  </si>
  <si>
    <t>Laundry  Allowance</t>
  </si>
  <si>
    <t>Quarters Allowance</t>
  </si>
  <si>
    <t>Productivity Incentive Allowance/SIL??</t>
  </si>
  <si>
    <t>Overseas Allowance</t>
  </si>
  <si>
    <t>Honoraria</t>
  </si>
  <si>
    <t>Hazard Pay</t>
  </si>
  <si>
    <t>Longevity Pay</t>
  </si>
  <si>
    <t>Overtime and Night Pay</t>
  </si>
  <si>
    <t>Year End Bonus</t>
  </si>
  <si>
    <t>Cash Gift</t>
  </si>
  <si>
    <t>Other Bonuses and Allowances</t>
  </si>
  <si>
    <t>Retirement and Life Insurance Premiums</t>
  </si>
  <si>
    <t xml:space="preserve">Medical, Dental, and Laboratory fees </t>
  </si>
  <si>
    <t>Pag-IBIG Contributions</t>
  </si>
  <si>
    <t>PhilHealth Contributions</t>
  </si>
  <si>
    <t>Employees Compensation Insurance Premiums</t>
  </si>
  <si>
    <t>Provident/Welfare Fund Contributions</t>
  </si>
  <si>
    <t xml:space="preserve">Pension Benefits </t>
  </si>
  <si>
    <t>Other service income</t>
  </si>
  <si>
    <t xml:space="preserve">Retirement Gratuity </t>
  </si>
  <si>
    <t>Terminal Leave Benefits</t>
  </si>
  <si>
    <t>Other Personnel Benefits</t>
  </si>
  <si>
    <t>Total  amount of Compensation Salary/Wage (For entire 2017)</t>
  </si>
  <si>
    <t>Hospital fees</t>
  </si>
  <si>
    <t xml:space="preserve">3.2. Rent income </t>
  </si>
  <si>
    <t>3.3. Other business income</t>
  </si>
  <si>
    <t>4.0 Income from grant and donations</t>
  </si>
  <si>
    <t>3.4. Sales revenue</t>
  </si>
  <si>
    <t>3.5. Cost of goods sold</t>
  </si>
  <si>
    <t>3.6. Fines and penalties</t>
  </si>
  <si>
    <t>3.7. Sale of disposed assets</t>
  </si>
  <si>
    <t>5.0 Other (Specify):</t>
  </si>
  <si>
    <t xml:space="preserve">Laboratory (sent out) </t>
  </si>
  <si>
    <t xml:space="preserve">Blood Bank </t>
  </si>
  <si>
    <t xml:space="preserve">OPD Patient's Card </t>
  </si>
  <si>
    <t>Total Revenue</t>
  </si>
  <si>
    <t>Line Items of Expenses</t>
  </si>
  <si>
    <t>Salaries and Wages - Regular</t>
  </si>
  <si>
    <t>Salaries and Wages - Casual/Contractual</t>
  </si>
  <si>
    <t>Productivity Incentive Allowance</t>
  </si>
  <si>
    <t>2.0 Maintenance and Operating Expenses</t>
  </si>
  <si>
    <t>Traveling Expenses - Local</t>
  </si>
  <si>
    <t>Traveling Expenses - Foreign</t>
  </si>
  <si>
    <t>Training Expenses</t>
  </si>
  <si>
    <t>Scholarship Grants/Expenses</t>
  </si>
  <si>
    <t xml:space="preserve">Office Supplies Expenses </t>
  </si>
  <si>
    <t>Accountable Forms Expenses</t>
  </si>
  <si>
    <t>Non-Accountable Forms Expenses</t>
  </si>
  <si>
    <t>Animal/Zoological Supplies Expenses</t>
  </si>
  <si>
    <t>Food Supplies Expenses</t>
  </si>
  <si>
    <t>Welfare Goods Expenses</t>
  </si>
  <si>
    <t>Drugs and Medicines Expenses</t>
  </si>
  <si>
    <t>Medical Supplies Expenses</t>
  </si>
  <si>
    <t>Dental Supplies Expenses</t>
  </si>
  <si>
    <t>Laboratory Supplies Expenses (Including Radiology)</t>
  </si>
  <si>
    <t>Fuel, Oil and Lubricants Expenses</t>
  </si>
  <si>
    <t>Other Supplies and Materials Expenses (Cleaning/Housekeeping Supplies)</t>
  </si>
  <si>
    <t>Water Expenses</t>
  </si>
  <si>
    <t>Electricity Expenses</t>
  </si>
  <si>
    <t>Cooking Gas Expenses</t>
  </si>
  <si>
    <t xml:space="preserve">Postage and Courier Services </t>
  </si>
  <si>
    <t>Telephone Expenses</t>
  </si>
  <si>
    <t>Internet Subscription Expenses</t>
  </si>
  <si>
    <t>Cable, Satellite, Telegraph and Radio Expenses</t>
  </si>
  <si>
    <t>Legal Services</t>
  </si>
  <si>
    <t>Auditing Services</t>
  </si>
  <si>
    <t>Consultancy Services</t>
  </si>
  <si>
    <t>Other Professional Services</t>
  </si>
  <si>
    <t>Environment/Sanitary Services</t>
  </si>
  <si>
    <t>Janitorial Services</t>
  </si>
  <si>
    <t>Security Services</t>
  </si>
  <si>
    <t>Other General Services</t>
  </si>
  <si>
    <t>Repairs and Maintenance - Investment Property</t>
  </si>
  <si>
    <t>Repairs and Maintenance - Land Improvements</t>
  </si>
  <si>
    <t>Repairs and Maintenance - Infrastructure Assets</t>
  </si>
  <si>
    <t>Repairs and Maintenance - Buildings and Other Structures</t>
  </si>
  <si>
    <t xml:space="preserve">Repairs and Maintenance - Machinery and Equipment </t>
  </si>
  <si>
    <t xml:space="preserve">Repairs and Maintenance - Transportation Equipment  </t>
  </si>
  <si>
    <t>Repairs and Maintenance - Other Property, Plant and Equipment</t>
  </si>
  <si>
    <t>Taxes, Duties and Licenses</t>
  </si>
  <si>
    <t xml:space="preserve">Fidelity Bond Premiums </t>
  </si>
  <si>
    <t>Insurance Expenses</t>
  </si>
  <si>
    <t>Labor and Wages</t>
  </si>
  <si>
    <t>Advertising Expenses</t>
  </si>
  <si>
    <t>Membership Dues and Contributions to Organizations</t>
  </si>
  <si>
    <t>Subscription Expenses</t>
  </si>
  <si>
    <t>Donations</t>
  </si>
  <si>
    <t>Litigation/Acquired Assets Expenses</t>
  </si>
  <si>
    <t>Rent Expense</t>
  </si>
  <si>
    <t xml:space="preserve">Other Maintenance and Operating Expenses  </t>
  </si>
  <si>
    <t>Total Expenditure</t>
  </si>
  <si>
    <r>
      <rPr>
        <b/>
        <sz val="10"/>
        <color rgb="FF000000"/>
        <rFont val="Arial Narrow"/>
        <family val="2"/>
      </rPr>
      <t>Source Document:</t>
    </r>
    <r>
      <rPr>
        <sz val="10"/>
        <color rgb="FF000000"/>
        <rFont val="Arial Narrow"/>
        <family val="2"/>
      </rPr>
      <t xml:space="preserve"> Payroll sheet and Work/labor contracts with respective staff</t>
    </r>
  </si>
  <si>
    <r>
      <rPr>
        <b/>
        <sz val="11"/>
        <rFont val="Arial Narrow"/>
        <family val="2"/>
      </rPr>
      <t>Objective:</t>
    </r>
    <r>
      <rPr>
        <sz val="11"/>
        <color rgb="FF000000"/>
        <rFont val="Arial Narrow"/>
        <family val="2"/>
      </rPr>
      <t xml:space="preserve"> Account and Gather all types of Income and expenses of the Hospital and record in monetary value.</t>
    </r>
  </si>
  <si>
    <r>
      <rPr>
        <b/>
        <sz val="11"/>
        <rFont val="Arial Narrow"/>
        <family val="2"/>
      </rPr>
      <t>Source Document:</t>
    </r>
    <r>
      <rPr>
        <sz val="11"/>
        <color rgb="FF000000"/>
        <rFont val="Arial Narrow"/>
        <family val="2"/>
      </rPr>
      <t xml:space="preserve"> Financial statements, program reports, hospital internal records</t>
    </r>
  </si>
  <si>
    <r>
      <rPr>
        <b/>
        <sz val="11"/>
        <color rgb="FF000000"/>
        <rFont val="Arial Narrow"/>
        <family val="2"/>
      </rPr>
      <t>Data collector:</t>
    </r>
    <r>
      <rPr>
        <sz val="11"/>
        <color rgb="FF000000"/>
        <rFont val="Arial Narrow"/>
        <family val="2"/>
      </rPr>
      <t xml:space="preserve"> Accounting officer/Accounting officer in charge of payroll/Accounting officer at LGU via Liaison officer (Hospital chief of Administration) at the hospital </t>
    </r>
  </si>
  <si>
    <t>Daily Rate (if applicable and/or especially for casual and contractual</t>
  </si>
  <si>
    <t xml:space="preserve">Total number of Work Hours during time period of data </t>
  </si>
  <si>
    <t xml:space="preserve">Total number of  work Days during time period of data </t>
  </si>
  <si>
    <t>Sources</t>
  </si>
  <si>
    <t>1.0 Personnel  expenses</t>
  </si>
  <si>
    <t>Building</t>
  </si>
  <si>
    <t>Office equipment</t>
  </si>
  <si>
    <t>Furniture and Fixtures</t>
  </si>
  <si>
    <t>Medical and laboratory equipment</t>
  </si>
  <si>
    <t>Other property and equipment</t>
  </si>
  <si>
    <t>3.0 Fixed assets/Property, Plant and equipment</t>
  </si>
  <si>
    <r>
      <t xml:space="preserve">Level of care </t>
    </r>
    <r>
      <rPr>
        <b/>
        <sz val="11"/>
        <color rgb="FFFF0000"/>
        <rFont val="Arial Narrow"/>
        <family val="2"/>
      </rPr>
      <t>(always update)</t>
    </r>
    <r>
      <rPr>
        <b/>
        <sz val="11"/>
        <color rgb="FF000000"/>
        <rFont val="Arial Narrow"/>
        <family val="2"/>
      </rPr>
      <t>:</t>
    </r>
  </si>
  <si>
    <t>Departments to select from</t>
  </si>
  <si>
    <t>https://www.dbm.gov.ph/wp-content/uploads/Issuances/2013/Joint%20Circular%202013/DOH/Manual%20RSSGH_%203%20levels.pdf</t>
  </si>
  <si>
    <t>https://hfsrb.doh.gov.ph/images/Hospital/issuances/ao2012-0012.pdf</t>
  </si>
  <si>
    <t>References:</t>
  </si>
  <si>
    <t>Private Ward</t>
  </si>
  <si>
    <t>Clinical/Medical services</t>
  </si>
  <si>
    <t>Ob/Gyne Ward</t>
  </si>
  <si>
    <t>Surgical Ward</t>
  </si>
  <si>
    <t>Pediatric Ward</t>
  </si>
  <si>
    <t>Internal Medicine Ward</t>
  </si>
  <si>
    <t>Dental</t>
  </si>
  <si>
    <t>Radiation Oncology Unit*</t>
  </si>
  <si>
    <t>Dialysis Unit</t>
  </si>
  <si>
    <t>Emergency Medicine Department</t>
  </si>
  <si>
    <t>Hypertension</t>
  </si>
  <si>
    <t xml:space="preserve">Diabetes </t>
  </si>
  <si>
    <t>Malaria</t>
  </si>
  <si>
    <t>Smoking Cessation</t>
  </si>
  <si>
    <t>Family Planning Unit</t>
  </si>
  <si>
    <t>HIV Aids</t>
  </si>
  <si>
    <t>TB Dots</t>
  </si>
  <si>
    <t>Animal Bite Center</t>
  </si>
  <si>
    <t>Outpatient Department (general)</t>
  </si>
  <si>
    <t>Others</t>
  </si>
  <si>
    <t>Ancillary services/Support services</t>
  </si>
  <si>
    <t>Morgue</t>
  </si>
  <si>
    <t>Burn Unit</t>
  </si>
  <si>
    <t>Pediatric ICU*</t>
  </si>
  <si>
    <t>Surgical ICU*</t>
  </si>
  <si>
    <t>Neonatal ICU*</t>
  </si>
  <si>
    <t>Medical ICU</t>
  </si>
  <si>
    <t>Respiratory Unit</t>
  </si>
  <si>
    <t>Operating Room / Aneasthesiology / PACU / Recovery Room</t>
  </si>
  <si>
    <t>Delivery Room</t>
  </si>
  <si>
    <t>Physiotherapy / Rehabilitation</t>
  </si>
  <si>
    <t>Radiology / Diagnostic Imaging (CT Scan, MRI, ECG, Mammography, Endoscopy)</t>
  </si>
  <si>
    <t>Laboratory</t>
  </si>
  <si>
    <t>Blood Bank</t>
  </si>
  <si>
    <t>Pharmacy</t>
  </si>
  <si>
    <t>Sterilization</t>
  </si>
  <si>
    <t>Nutrition and Dietetics</t>
  </si>
  <si>
    <t>Laundry</t>
  </si>
  <si>
    <t>Administrative/Overhead services</t>
  </si>
  <si>
    <t>Office of the Chief of Medical Professional Staff</t>
  </si>
  <si>
    <t>Security</t>
  </si>
  <si>
    <t>Cash Operations</t>
  </si>
  <si>
    <t>Billing and Claims</t>
  </si>
  <si>
    <t>Central Supply Office</t>
  </si>
  <si>
    <t>Health Info Mgt (Admitting)</t>
  </si>
  <si>
    <t>Office of the Chief Nurse</t>
  </si>
  <si>
    <t>Medical Social Work</t>
  </si>
  <si>
    <t>Budget and Accounting</t>
  </si>
  <si>
    <t>Housekeeping</t>
  </si>
  <si>
    <t>Engineering and Facilities Management</t>
  </si>
  <si>
    <t>Materials Management</t>
  </si>
  <si>
    <t>Procurement</t>
  </si>
  <si>
    <t>Human Resource Management</t>
  </si>
  <si>
    <t>Office of the Administrative Officer</t>
  </si>
  <si>
    <t>IT Departments</t>
  </si>
  <si>
    <t>Office of the Medical Center Chief</t>
  </si>
  <si>
    <t>Department Name / Unit</t>
  </si>
  <si>
    <t>Classification of Hospital Departments</t>
  </si>
  <si>
    <t>DEPARTMENT LIST</t>
  </si>
  <si>
    <t>ENT Ward*</t>
  </si>
  <si>
    <t>Psychiatric Ward*</t>
  </si>
  <si>
    <t>Orthopedic Ward*</t>
  </si>
  <si>
    <t>Neurosurgery Ward*</t>
  </si>
  <si>
    <t>Endoscopy Unit</t>
  </si>
  <si>
    <t>Nuclear Medicine</t>
  </si>
  <si>
    <t>Hypertension MAP</t>
  </si>
  <si>
    <t>Diabetes MAP</t>
  </si>
  <si>
    <t>Outpatient Department</t>
  </si>
  <si>
    <t>Heart Station</t>
  </si>
  <si>
    <t>Office of the Chief of Medical Professional Staff / Chief of Clinics</t>
  </si>
  <si>
    <t xml:space="preserve">Housekeeping </t>
  </si>
  <si>
    <t>IT Department</t>
  </si>
  <si>
    <r>
      <rPr>
        <b/>
        <sz val="11"/>
        <rFont val="Arial Narrow"/>
        <family val="2"/>
      </rPr>
      <t>Instructions:</t>
    </r>
    <r>
      <rPr>
        <sz val="11"/>
        <color rgb="FF000000"/>
        <rFont val="Arial Narrow"/>
        <family val="2"/>
      </rPr>
      <t xml:space="preserve"> Fill in items accordingly. Please include all expenses regardless of the sources of income. If peso value of the donated items is not available Please include proxy value for the donated itmes. Use empty rows to add if necessary.</t>
    </r>
  </si>
  <si>
    <t xml:space="preserve">Time period covered: </t>
  </si>
  <si>
    <t># Personen</t>
  </si>
  <si>
    <t>Level I</t>
  </si>
  <si>
    <t>Staff Nurse</t>
  </si>
  <si>
    <t>Hospital Department</t>
  </si>
  <si>
    <t>Probationary</t>
  </si>
  <si>
    <t>Full time</t>
  </si>
  <si>
    <t>Permanent</t>
  </si>
  <si>
    <t>Midwife</t>
  </si>
  <si>
    <t>Billing/Admitting Clerk</t>
  </si>
  <si>
    <t>Finance Department</t>
  </si>
  <si>
    <t>Admin Clerk</t>
  </si>
  <si>
    <t>Admin Department</t>
  </si>
  <si>
    <t>Housekeeper</t>
  </si>
  <si>
    <t>Maintenance Department</t>
  </si>
  <si>
    <t>Admin Director</t>
  </si>
  <si>
    <t>Rad Tech Aide</t>
  </si>
  <si>
    <t>Radiology Department</t>
  </si>
  <si>
    <t>HR Assistant</t>
  </si>
  <si>
    <t>Accounting Clerk</t>
  </si>
  <si>
    <t>Physical Therapist</t>
  </si>
  <si>
    <t>RMPT Department</t>
  </si>
  <si>
    <t>Pharmacist</t>
  </si>
  <si>
    <t>Pharmacy Department</t>
  </si>
  <si>
    <t>Cashier 1</t>
  </si>
  <si>
    <t>Head - Pharmacist</t>
  </si>
  <si>
    <t>Cashier 2</t>
  </si>
  <si>
    <t>OIC Nurse</t>
  </si>
  <si>
    <t>Lab Secretary</t>
  </si>
  <si>
    <t>Laboratory Department</t>
  </si>
  <si>
    <t>Cashier 3</t>
  </si>
  <si>
    <t>Cook 1</t>
  </si>
  <si>
    <t>Philhealth Officer</t>
  </si>
  <si>
    <t>Cook 2</t>
  </si>
  <si>
    <t>Ambulance Driver</t>
  </si>
  <si>
    <t xml:space="preserve">Ambulance </t>
  </si>
  <si>
    <t xml:space="preserve">Purchasing </t>
  </si>
  <si>
    <t>Medical Director</t>
  </si>
  <si>
    <t>Contractual</t>
  </si>
  <si>
    <t>Part time</t>
  </si>
  <si>
    <t>Head - Accounting</t>
  </si>
  <si>
    <t>Medical Technologist</t>
  </si>
  <si>
    <t>Business Office Clerk</t>
  </si>
  <si>
    <t>Chief Med Technologist</t>
  </si>
  <si>
    <t>Maintenance</t>
  </si>
  <si>
    <t>Chied Rad Technologist</t>
  </si>
  <si>
    <t>Full time (Resigned)</t>
  </si>
  <si>
    <t>HR Head</t>
  </si>
  <si>
    <t>Chief Nurse</t>
  </si>
  <si>
    <t>Reliever Nurse</t>
  </si>
  <si>
    <t>Reliever</t>
  </si>
  <si>
    <t>Reliever Housekeeper</t>
  </si>
  <si>
    <t>Reliever Cook</t>
  </si>
  <si>
    <t>Finance Director</t>
  </si>
  <si>
    <t>Maintenance Supervisor</t>
  </si>
  <si>
    <t>Retainer</t>
  </si>
  <si>
    <t>Dietary &amp; Laundry Supervisor</t>
  </si>
  <si>
    <t>Dietician</t>
  </si>
  <si>
    <t>Social Worker</t>
  </si>
  <si>
    <t>261 days</t>
  </si>
  <si>
    <t>6264 hrs</t>
  </si>
  <si>
    <t>230 days</t>
  </si>
  <si>
    <t>5520 hrs</t>
  </si>
  <si>
    <t>170 days</t>
  </si>
  <si>
    <t>150 days</t>
  </si>
  <si>
    <t>3600 hrs</t>
  </si>
  <si>
    <t>140 days</t>
  </si>
  <si>
    <t>3360 hrs</t>
  </si>
  <si>
    <t>120 days</t>
  </si>
  <si>
    <t>2880 hrs</t>
  </si>
  <si>
    <t>110 days</t>
  </si>
  <si>
    <t>2640 hrs</t>
  </si>
  <si>
    <t>On call</t>
  </si>
  <si>
    <t>N/A</t>
  </si>
  <si>
    <t>SSS,PHIC &amp; Pag-ibig Contributions</t>
  </si>
  <si>
    <t>Dr. Abel Laxamana</t>
  </si>
  <si>
    <t>Internal Medicine</t>
  </si>
  <si>
    <t>Dr. Ferdinand Rubio, Jr.</t>
  </si>
  <si>
    <t>Dr. George Tamayo</t>
  </si>
  <si>
    <t>IM-Cardiology</t>
  </si>
  <si>
    <t>Dr. Harold Sunga</t>
  </si>
  <si>
    <t>Dr. Elizabeth Salcedo-Rubio</t>
  </si>
  <si>
    <t>IM-Dermatology</t>
  </si>
  <si>
    <t>Dr. Arlene Guzman</t>
  </si>
  <si>
    <t>Dr. Jose Patajo</t>
  </si>
  <si>
    <t>IM-Diabetology</t>
  </si>
  <si>
    <t>Dr. Marie Mallari-Rozul</t>
  </si>
  <si>
    <t>Dr. Lloyd Torres</t>
  </si>
  <si>
    <t>IM-Gastroenterology</t>
  </si>
  <si>
    <t>Dr. Sheryll Magayanes</t>
  </si>
  <si>
    <t>IM-Infectious Diseases</t>
  </si>
  <si>
    <t>Dr. Mary Grace Angelica Gomez</t>
  </si>
  <si>
    <t>IM-Nephrology</t>
  </si>
  <si>
    <t>Dr. Artemio Pilar</t>
  </si>
  <si>
    <t>IM-Pulmonology</t>
  </si>
  <si>
    <t>Dr. Sherwin Guevarra</t>
  </si>
  <si>
    <t>Dr. Rosemarie Ramos</t>
  </si>
  <si>
    <t>Obstetrics-Gynecology</t>
  </si>
  <si>
    <t>Dr. Jennifer Cabrera</t>
  </si>
  <si>
    <t>Dr. Adelyn Sahagun</t>
  </si>
  <si>
    <t>Dr. Eileen Dungo-Tecson</t>
  </si>
  <si>
    <t>Dr. Sheryl Yu</t>
  </si>
  <si>
    <t>Dr. Bernadette Espiritu</t>
  </si>
  <si>
    <t>Pathology</t>
  </si>
  <si>
    <t>Dr. Maria Victoria Macalino</t>
  </si>
  <si>
    <t>Pediatrics</t>
  </si>
  <si>
    <t>Dr. Necthar Bonifacio</t>
  </si>
  <si>
    <t>Dr. Theresa Vargas</t>
  </si>
  <si>
    <t>Dr. Anthony Joseph Tecson</t>
  </si>
  <si>
    <t>Dr. Ivy Rose Windee Mananghaya</t>
  </si>
  <si>
    <t>Dr. Woody Zapanta</t>
  </si>
  <si>
    <t>ENT</t>
  </si>
  <si>
    <t>Dr. Jodell Coates</t>
  </si>
  <si>
    <t>General Surgery</t>
  </si>
  <si>
    <t>Dr. Jason Quiambao</t>
  </si>
  <si>
    <t>Dr. Ralph Cabaddu</t>
  </si>
  <si>
    <t>Dr. Jayson Balita</t>
  </si>
  <si>
    <t>Dr. Adrian Francis Aninias</t>
  </si>
  <si>
    <t>Dr. Patricio Asio</t>
  </si>
  <si>
    <t>Opthalmology</t>
  </si>
  <si>
    <t>Dr. Catherine Guzman-Asio</t>
  </si>
  <si>
    <t>Dr. Roman Philippe Espiritu</t>
  </si>
  <si>
    <t>Dr. Marivic Mercado</t>
  </si>
  <si>
    <t>Optometry</t>
  </si>
  <si>
    <t>Dr. Rodil Dela Paz</t>
  </si>
  <si>
    <t>Orthopedic</t>
  </si>
  <si>
    <t>Dr. Marlon Martinez</t>
  </si>
  <si>
    <t>Urology</t>
  </si>
  <si>
    <t>Dr. Enrico Comiso</t>
  </si>
  <si>
    <t>Dr. Rafael Cruz</t>
  </si>
  <si>
    <t>Anesthesiology</t>
  </si>
  <si>
    <t>Dr. Marianila Macapinlac</t>
  </si>
  <si>
    <t>Dr. Cesar Fernando</t>
  </si>
  <si>
    <t>Dr. Margarette Dimapindan</t>
  </si>
  <si>
    <t>Dr. Tracy Jane Torres</t>
  </si>
  <si>
    <t>Dr. Joseph Guevarra</t>
  </si>
  <si>
    <t>Dr. Romeo Quiambao</t>
  </si>
  <si>
    <t>Radiology</t>
  </si>
  <si>
    <t>Dr. Charlemagne Aniciete</t>
  </si>
  <si>
    <t>Dr. Carlo Gene Poa</t>
  </si>
  <si>
    <t>Rehabilitation Medicine</t>
  </si>
  <si>
    <t>Dr. Jessie Kho</t>
  </si>
  <si>
    <t>Resident Doctor</t>
  </si>
  <si>
    <t>Dr. Luis Esguerra Jr.</t>
  </si>
  <si>
    <t>Dr. Jude Chester Malungcut</t>
  </si>
  <si>
    <t>Aniciete, Rainer</t>
  </si>
  <si>
    <t>Arancana, Emilou</t>
  </si>
  <si>
    <t>Arceo, Leonor</t>
  </si>
  <si>
    <t>Aronce, Aaron Luigi</t>
  </si>
  <si>
    <t>Aronce, Marlo Maila</t>
  </si>
  <si>
    <t>Balingit, Almira</t>
  </si>
  <si>
    <t>Bondoc, Dhenmark</t>
  </si>
  <si>
    <t>Buccat, Joel</t>
  </si>
  <si>
    <t>Cabunilas, Mia Portia</t>
  </si>
  <si>
    <t>Carreon, Jennalyn</t>
  </si>
  <si>
    <t>Datu, Dolores</t>
  </si>
  <si>
    <t>De Lara, Rosalie</t>
  </si>
  <si>
    <t>Del Rosario, Ronnile</t>
  </si>
  <si>
    <t>Dela Cruz, Alvin</t>
  </si>
  <si>
    <t>Dela Peña, Gerard</t>
  </si>
  <si>
    <t>Dizon, Judiness</t>
  </si>
  <si>
    <t>Fernandez, Hazel</t>
  </si>
  <si>
    <t>Garcia, Louise</t>
  </si>
  <si>
    <t>Guevarra, Nestor</t>
  </si>
  <si>
    <t>Halayahay, Juven</t>
  </si>
  <si>
    <t>Lopez, Mary Joyce</t>
  </si>
  <si>
    <t>Lulu, Lolita</t>
  </si>
  <si>
    <t>Lumba, Christine Joy</t>
  </si>
  <si>
    <t>Lumba, Janice</t>
  </si>
  <si>
    <t>Lumba, Jeffrey</t>
  </si>
  <si>
    <t>Lumba, Mina Gracia</t>
  </si>
  <si>
    <t>Macalino, Ana Mariel</t>
  </si>
  <si>
    <t>Mallari, Niño</t>
  </si>
  <si>
    <t>Mata, Flora</t>
  </si>
  <si>
    <t>Nabong, Emilie</t>
  </si>
  <si>
    <t>Nuguid, Kenneth</t>
  </si>
  <si>
    <t>Ochoa, Vianca Camille</t>
  </si>
  <si>
    <t>Osorio, Elizabeth</t>
  </si>
  <si>
    <t>Perez, Kathleen</t>
  </si>
  <si>
    <t>Pineda, Jainor</t>
  </si>
  <si>
    <t>Quiambao, Jessa Claire</t>
  </si>
  <si>
    <t>Quiroz, Maika Soza</t>
  </si>
  <si>
    <t>Quizon, Zenaida</t>
  </si>
  <si>
    <t>Reyes, Efren</t>
  </si>
  <si>
    <t>Reyes, Rosalie</t>
  </si>
  <si>
    <t>Rozul, Nessael</t>
  </si>
  <si>
    <t>Sabino, Precious</t>
  </si>
  <si>
    <t>Sanchez, Milagros</t>
  </si>
  <si>
    <t>Sevilla, Angelico</t>
  </si>
  <si>
    <t>Tabilin, Mary Lyn</t>
  </si>
  <si>
    <t>Tobias, John Rhil</t>
  </si>
  <si>
    <t>Tuazon, Willie</t>
  </si>
  <si>
    <t>Ulanday, Jocelyn</t>
  </si>
  <si>
    <t xml:space="preserve">Usi, Rachelle </t>
  </si>
  <si>
    <t>Ventura, Vener</t>
  </si>
  <si>
    <t>Yandoc, Bon Leonard</t>
  </si>
  <si>
    <t>Zafra, Allyana Marie</t>
  </si>
  <si>
    <t>Pingol, Mary Jane</t>
  </si>
  <si>
    <t>Cruz, Camille Joyce</t>
  </si>
  <si>
    <t>Mendoza, Edlyne</t>
  </si>
  <si>
    <t>Villanueva, Efren</t>
  </si>
  <si>
    <t>Florentino, Antonette</t>
  </si>
  <si>
    <t>Viray, Vida</t>
  </si>
  <si>
    <t>Reyes, Kenn Pearson</t>
  </si>
  <si>
    <t>Usi, Dion Arvi</t>
  </si>
  <si>
    <t>Payaoan, Valcy Vincent</t>
  </si>
  <si>
    <t>Timoteo, Jelyn</t>
  </si>
  <si>
    <t>Yabut, Janine</t>
  </si>
  <si>
    <t>Manansala, Aerohn Bien</t>
  </si>
  <si>
    <t>Francisco, Cecilia</t>
  </si>
  <si>
    <t>Mallari, Joey</t>
  </si>
  <si>
    <t>Alamariz, Jacob</t>
  </si>
  <si>
    <t>Fabian, John Felix</t>
  </si>
  <si>
    <t>Cabrera, Cecille</t>
  </si>
  <si>
    <t>Tungul, Celeste</t>
  </si>
  <si>
    <t>Alfonso, Charry</t>
  </si>
  <si>
    <t>De Guzman, Rodonia</t>
  </si>
  <si>
    <t>Santiago, Irene</t>
  </si>
  <si>
    <t>Gutierrez, Maria Lourdes</t>
  </si>
  <si>
    <t>note:salaries &amp; wages (not include the sss, phic, pagibig, retirement, bonuses, 13th month, rod, transpo, clothing all, retainers, relievers fee.)</t>
  </si>
</sst>
</file>

<file path=xl/styles.xml><?xml version="1.0" encoding="utf-8"?>
<styleSheet xmlns="http://schemas.openxmlformats.org/spreadsheetml/2006/main">
  <numFmts count="1">
    <numFmt numFmtId="164" formatCode="_-* #,##0.00_-;\-* #,##0.00_-;_-* &quot;-&quot;??_-;_-@_-"/>
  </numFmts>
  <fonts count="24">
    <font>
      <sz val="11"/>
      <color rgb="FF000000"/>
      <name val="Calibri"/>
    </font>
    <font>
      <sz val="11"/>
      <color theme="1"/>
      <name val="Calibri"/>
      <family val="2"/>
      <scheme val="minor"/>
    </font>
    <font>
      <sz val="10"/>
      <color rgb="FF000000"/>
      <name val="Arial Narrow"/>
      <family val="2"/>
    </font>
    <font>
      <b/>
      <sz val="11"/>
      <color rgb="FF000000"/>
      <name val="Arial Narrow"/>
      <family val="2"/>
    </font>
    <font>
      <b/>
      <sz val="10"/>
      <color rgb="FF000000"/>
      <name val="Arial Narrow"/>
      <family val="2"/>
    </font>
    <font>
      <sz val="11"/>
      <name val="Calibri"/>
      <family val="2"/>
    </font>
    <font>
      <sz val="11"/>
      <color rgb="FF000000"/>
      <name val="Arial Narrow"/>
      <family val="2"/>
    </font>
    <font>
      <b/>
      <sz val="10"/>
      <name val="Arial Narrow"/>
      <family val="2"/>
    </font>
    <font>
      <sz val="10"/>
      <name val="Arial Narrow"/>
      <family val="2"/>
    </font>
    <font>
      <b/>
      <sz val="11"/>
      <name val="Arial Narrow"/>
      <family val="2"/>
    </font>
    <font>
      <sz val="11"/>
      <color rgb="FF000000"/>
      <name val="Calibri"/>
      <family val="2"/>
    </font>
    <font>
      <b/>
      <sz val="11"/>
      <color theme="1"/>
      <name val="Calibri"/>
      <family val="2"/>
      <scheme val="minor"/>
    </font>
    <font>
      <sz val="11"/>
      <color theme="1"/>
      <name val="Arial Narrow"/>
      <family val="2"/>
    </font>
    <font>
      <b/>
      <sz val="11"/>
      <color rgb="FFFF0000"/>
      <name val="Arial Narrow"/>
      <family val="2"/>
    </font>
    <font>
      <b/>
      <sz val="11"/>
      <color rgb="FF0070C0"/>
      <name val="Arial Narrow"/>
      <family val="2"/>
    </font>
    <font>
      <sz val="11"/>
      <name val="Arial Narrow"/>
      <family val="2"/>
    </font>
    <font>
      <u/>
      <sz val="11"/>
      <color rgb="FF000000"/>
      <name val="Arial Narrow"/>
      <family val="2"/>
    </font>
    <font>
      <u/>
      <sz val="11"/>
      <color rgb="FF0563C1"/>
      <name val="Calibri"/>
      <family val="2"/>
    </font>
    <font>
      <sz val="8"/>
      <color rgb="FF008000"/>
      <name val="Calibri"/>
      <family val="2"/>
    </font>
    <font>
      <sz val="8"/>
      <color rgb="FF800000"/>
      <name val="Calibri"/>
      <family val="2"/>
    </font>
    <font>
      <sz val="11"/>
      <color rgb="FF0070C0"/>
      <name val="Arial Narrow"/>
      <family val="2"/>
    </font>
    <font>
      <sz val="10"/>
      <color theme="1"/>
      <name val="Arial Narrow"/>
      <family val="2"/>
    </font>
    <font>
      <b/>
      <sz val="11"/>
      <color theme="1"/>
      <name val="Arial Narrow"/>
      <family val="2"/>
    </font>
    <font>
      <b/>
      <sz val="11"/>
      <name val="Calibri"/>
      <family val="2"/>
      <scheme val="minor"/>
    </font>
  </fonts>
  <fills count="7">
    <fill>
      <patternFill patternType="none"/>
    </fill>
    <fill>
      <patternFill patternType="gray125"/>
    </fill>
    <fill>
      <patternFill patternType="solid">
        <fgColor rgb="FFFFFFFF"/>
        <bgColor rgb="FFFFFFFF"/>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rgb="FFD9E2F3"/>
      </patternFill>
    </fill>
  </fills>
  <borders count="27">
    <border>
      <left/>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right style="thin">
        <color rgb="FF000000"/>
      </right>
      <top/>
      <bottom/>
      <diagonal/>
    </border>
    <border>
      <left/>
      <right style="thin">
        <color rgb="FF000000"/>
      </right>
      <top style="thin">
        <color rgb="FF000000"/>
      </top>
      <bottom/>
      <diagonal/>
    </border>
    <border>
      <left style="thin">
        <color rgb="FF000000"/>
      </left>
      <right/>
      <top style="thin">
        <color rgb="FF000000"/>
      </top>
      <bottom/>
      <diagonal/>
    </border>
    <border>
      <left style="medium">
        <color auto="1"/>
      </left>
      <right style="medium">
        <color auto="1"/>
      </right>
      <top/>
      <bottom style="medium">
        <color auto="1"/>
      </bottom>
      <diagonal/>
    </border>
    <border>
      <left style="medium">
        <color rgb="FF000000"/>
      </left>
      <right/>
      <top style="medium">
        <color rgb="FF000000"/>
      </top>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rgb="FF000000"/>
      </right>
      <top/>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s>
  <cellStyleXfs count="4">
    <xf numFmtId="0" fontId="0" fillId="0" borderId="0"/>
    <xf numFmtId="164" fontId="10" fillId="0" borderId="0" applyFont="0" applyFill="0" applyBorder="0" applyAlignment="0" applyProtection="0"/>
    <xf numFmtId="0" fontId="1" fillId="0" borderId="0"/>
    <xf numFmtId="0" fontId="10" fillId="0" borderId="0"/>
  </cellStyleXfs>
  <cellXfs count="113">
    <xf numFmtId="0" fontId="0" fillId="0" borderId="0" xfId="0" applyFont="1" applyAlignment="1"/>
    <xf numFmtId="0" fontId="2" fillId="0" borderId="0" xfId="0" applyFont="1"/>
    <xf numFmtId="0" fontId="6" fillId="0" borderId="0" xfId="0" applyFont="1"/>
    <xf numFmtId="0" fontId="6" fillId="0" borderId="0" xfId="0" applyFont="1" applyAlignment="1"/>
    <xf numFmtId="0" fontId="4" fillId="0" borderId="2" xfId="0" applyFont="1" applyBorder="1" applyAlignment="1">
      <alignment horizontal="center" vertical="top"/>
    </xf>
    <xf numFmtId="0" fontId="2" fillId="0" borderId="2" xfId="0" applyFont="1" applyBorder="1"/>
    <xf numFmtId="0" fontId="2" fillId="0" borderId="2" xfId="0" applyFont="1" applyBorder="1" applyAlignment="1">
      <alignment horizontal="left"/>
    </xf>
    <xf numFmtId="0" fontId="4" fillId="0" borderId="2" xfId="0" applyFont="1" applyBorder="1"/>
    <xf numFmtId="0" fontId="3" fillId="0" borderId="2" xfId="0" applyFont="1" applyBorder="1"/>
    <xf numFmtId="0" fontId="7" fillId="2" borderId="2" xfId="0" applyFont="1" applyFill="1" applyBorder="1"/>
    <xf numFmtId="0" fontId="8" fillId="2" borderId="2" xfId="0" applyFont="1" applyFill="1" applyBorder="1"/>
    <xf numFmtId="0" fontId="8" fillId="2" borderId="2" xfId="0" applyFont="1" applyFill="1" applyBorder="1" applyAlignment="1"/>
    <xf numFmtId="0" fontId="8" fillId="2" borderId="3" xfId="0" applyFont="1" applyFill="1" applyBorder="1"/>
    <xf numFmtId="0" fontId="4" fillId="0" borderId="2" xfId="0" applyFont="1" applyBorder="1" applyAlignment="1">
      <alignment vertical="center"/>
    </xf>
    <xf numFmtId="0" fontId="4" fillId="0" borderId="2" xfId="0" applyFont="1" applyBorder="1" applyAlignment="1">
      <alignment horizontal="center" vertical="center"/>
    </xf>
    <xf numFmtId="0" fontId="3" fillId="0" borderId="2" xfId="0" applyFont="1" applyBorder="1" applyAlignment="1">
      <alignment vertical="top"/>
    </xf>
    <xf numFmtId="0" fontId="3" fillId="0" borderId="2" xfId="0" applyFont="1" applyBorder="1" applyAlignment="1">
      <alignment horizontal="center" vertical="top"/>
    </xf>
    <xf numFmtId="0" fontId="2" fillId="0" borderId="1" xfId="0" applyFont="1" applyBorder="1"/>
    <xf numFmtId="0" fontId="8" fillId="2" borderId="4" xfId="0" applyFont="1" applyFill="1" applyBorder="1"/>
    <xf numFmtId="0" fontId="2" fillId="0" borderId="3" xfId="0" applyFont="1" applyBorder="1"/>
    <xf numFmtId="0" fontId="2" fillId="0" borderId="4" xfId="0" applyFont="1" applyBorder="1"/>
    <xf numFmtId="0" fontId="4" fillId="0" borderId="4" xfId="0" applyFont="1" applyBorder="1"/>
    <xf numFmtId="0" fontId="12" fillId="0" borderId="0" xfId="0" applyFont="1"/>
    <xf numFmtId="0" fontId="3" fillId="3" borderId="0" xfId="0" applyFont="1" applyFill="1" applyBorder="1" applyAlignment="1" applyProtection="1">
      <alignment horizontal="left" vertical="center"/>
    </xf>
    <xf numFmtId="0" fontId="14" fillId="0" borderId="4" xfId="0" applyFont="1" applyBorder="1" applyAlignment="1" applyProtection="1">
      <alignment horizontal="center" vertical="center"/>
      <protection locked="0"/>
    </xf>
    <xf numFmtId="14" fontId="12" fillId="0" borderId="0" xfId="0" applyNumberFormat="1" applyFont="1" applyAlignment="1">
      <alignment horizontal="center"/>
    </xf>
    <xf numFmtId="0" fontId="1" fillId="0" borderId="0" xfId="2"/>
    <xf numFmtId="0" fontId="11" fillId="0" borderId="0" xfId="2" applyFont="1"/>
    <xf numFmtId="0" fontId="10" fillId="0" borderId="0" xfId="3" applyFont="1" applyAlignment="1"/>
    <xf numFmtId="0" fontId="15" fillId="0" borderId="0" xfId="3" applyFont="1"/>
    <xf numFmtId="0" fontId="16" fillId="0" borderId="0" xfId="3" applyFont="1" applyAlignment="1"/>
    <xf numFmtId="0" fontId="6" fillId="0" borderId="0" xfId="3" applyFont="1" applyAlignment="1"/>
    <xf numFmtId="0" fontId="6" fillId="0" borderId="0" xfId="3" applyFont="1"/>
    <xf numFmtId="0" fontId="6" fillId="0" borderId="5" xfId="3" applyFont="1" applyBorder="1" applyAlignment="1"/>
    <xf numFmtId="0" fontId="6" fillId="0" borderId="5" xfId="3" applyFont="1" applyBorder="1" applyAlignment="1">
      <alignment vertical="center"/>
    </xf>
    <xf numFmtId="0" fontId="15" fillId="0" borderId="5" xfId="3" applyFont="1" applyBorder="1" applyAlignment="1"/>
    <xf numFmtId="0" fontId="6" fillId="0" borderId="3" xfId="3" applyFont="1" applyBorder="1" applyAlignment="1"/>
    <xf numFmtId="0" fontId="6" fillId="0" borderId="1" xfId="3" applyFont="1" applyBorder="1" applyAlignment="1"/>
    <xf numFmtId="0" fontId="6" fillId="0" borderId="5" xfId="3" applyFont="1" applyBorder="1"/>
    <xf numFmtId="0" fontId="6" fillId="0" borderId="6" xfId="3" applyFont="1" applyBorder="1" applyAlignment="1"/>
    <xf numFmtId="0" fontId="6" fillId="0" borderId="7" xfId="3" applyFont="1" applyBorder="1" applyAlignment="1"/>
    <xf numFmtId="0" fontId="6" fillId="0" borderId="8" xfId="3" applyFont="1" applyBorder="1" applyAlignment="1"/>
    <xf numFmtId="0" fontId="3" fillId="0" borderId="0" xfId="3" applyFont="1" applyAlignment="1"/>
    <xf numFmtId="0" fontId="17" fillId="0" borderId="0" xfId="3" applyFont="1"/>
    <xf numFmtId="0" fontId="6" fillId="0" borderId="0" xfId="3" applyFont="1" applyAlignment="1">
      <alignment horizontal="center" vertical="center"/>
    </xf>
    <xf numFmtId="0" fontId="6" fillId="0" borderId="9" xfId="3" applyFont="1" applyBorder="1"/>
    <xf numFmtId="0" fontId="6" fillId="0" borderId="10" xfId="3" applyFont="1" applyBorder="1" applyAlignment="1">
      <alignment vertical="center"/>
    </xf>
    <xf numFmtId="0" fontId="6" fillId="0" borderId="11" xfId="3" applyFont="1" applyBorder="1"/>
    <xf numFmtId="0" fontId="6" fillId="0" borderId="11" xfId="3" applyFont="1" applyBorder="1" applyAlignment="1"/>
    <xf numFmtId="0" fontId="5" fillId="0" borderId="11" xfId="3" applyFont="1" applyBorder="1" applyAlignment="1"/>
    <xf numFmtId="0" fontId="6" fillId="0" borderId="12" xfId="3" applyFont="1" applyBorder="1"/>
    <xf numFmtId="0" fontId="15" fillId="0" borderId="9" xfId="3" applyFont="1" applyBorder="1" applyAlignment="1"/>
    <xf numFmtId="0" fontId="6" fillId="0" borderId="12" xfId="3" applyFont="1" applyBorder="1" applyAlignment="1"/>
    <xf numFmtId="0" fontId="6" fillId="0" borderId="13" xfId="3" applyFont="1" applyBorder="1" applyAlignment="1"/>
    <xf numFmtId="0" fontId="6" fillId="0" borderId="14" xfId="3" applyFont="1" applyBorder="1" applyAlignment="1">
      <alignment vertical="center"/>
    </xf>
    <xf numFmtId="0" fontId="6" fillId="0" borderId="13" xfId="3" applyFont="1" applyBorder="1"/>
    <xf numFmtId="0" fontId="6" fillId="0" borderId="15" xfId="3" applyFont="1" applyBorder="1"/>
    <xf numFmtId="0" fontId="6" fillId="0" borderId="10" xfId="3" applyFont="1" applyBorder="1" applyAlignment="1">
      <alignment horizontal="center"/>
    </xf>
    <xf numFmtId="0" fontId="3" fillId="0" borderId="0" xfId="3" applyFont="1"/>
    <xf numFmtId="0" fontId="20" fillId="0" borderId="4" xfId="0" applyFont="1" applyBorder="1" applyProtection="1">
      <protection locked="0"/>
    </xf>
    <xf numFmtId="0" fontId="21" fillId="0" borderId="0" xfId="0" applyFont="1"/>
    <xf numFmtId="0" fontId="22" fillId="4" borderId="0" xfId="0" applyFont="1" applyFill="1"/>
    <xf numFmtId="0" fontId="21" fillId="4" borderId="0" xfId="0" applyFont="1" applyFill="1"/>
    <xf numFmtId="0" fontId="21" fillId="0" borderId="0" xfId="0" applyFont="1" applyProtection="1"/>
    <xf numFmtId="164" fontId="20" fillId="5" borderId="4" xfId="1" applyFont="1" applyFill="1" applyBorder="1" applyProtection="1">
      <protection locked="0"/>
    </xf>
    <xf numFmtId="0" fontId="4" fillId="3" borderId="2" xfId="0" applyFont="1" applyFill="1" applyBorder="1" applyAlignment="1">
      <alignment horizontal="center" vertical="center" wrapText="1"/>
    </xf>
    <xf numFmtId="0" fontId="2" fillId="3" borderId="16" xfId="0" applyFont="1" applyFill="1" applyBorder="1"/>
    <xf numFmtId="0" fontId="0" fillId="3" borderId="22" xfId="0" applyFont="1" applyFill="1" applyBorder="1" applyAlignment="1"/>
    <xf numFmtId="0" fontId="2" fillId="3" borderId="22" xfId="0" applyFont="1" applyFill="1" applyBorder="1"/>
    <xf numFmtId="0" fontId="2" fillId="3" borderId="17" xfId="0" applyFont="1" applyFill="1" applyBorder="1"/>
    <xf numFmtId="0" fontId="2" fillId="3" borderId="18" xfId="0" applyFont="1" applyFill="1" applyBorder="1"/>
    <xf numFmtId="0" fontId="0" fillId="3" borderId="0" xfId="0" applyFont="1" applyFill="1" applyBorder="1" applyAlignment="1"/>
    <xf numFmtId="0" fontId="2" fillId="3" borderId="0" xfId="0" applyFont="1" applyFill="1" applyBorder="1"/>
    <xf numFmtId="0" fontId="2" fillId="3" borderId="19" xfId="0" applyFont="1" applyFill="1" applyBorder="1"/>
    <xf numFmtId="0" fontId="4" fillId="3" borderId="18" xfId="0" applyFont="1" applyFill="1" applyBorder="1"/>
    <xf numFmtId="0" fontId="2" fillId="3" borderId="20" xfId="0" applyFont="1" applyFill="1" applyBorder="1"/>
    <xf numFmtId="0" fontId="0" fillId="3" borderId="23" xfId="0" applyFont="1" applyFill="1" applyBorder="1" applyAlignment="1"/>
    <xf numFmtId="0" fontId="2" fillId="3" borderId="23" xfId="0" applyFont="1" applyFill="1" applyBorder="1"/>
    <xf numFmtId="0" fontId="2" fillId="3" borderId="21" xfId="0" applyFont="1" applyFill="1" applyBorder="1"/>
    <xf numFmtId="164" fontId="20" fillId="0" borderId="24" xfId="1" applyFont="1" applyBorder="1" applyProtection="1">
      <protection locked="0"/>
    </xf>
    <xf numFmtId="164" fontId="20" fillId="0" borderId="4" xfId="1" applyFont="1" applyBorder="1" applyProtection="1">
      <protection locked="0"/>
    </xf>
    <xf numFmtId="164" fontId="12" fillId="0" borderId="4" xfId="1" applyFont="1" applyBorder="1" applyProtection="1">
      <protection locked="0"/>
    </xf>
    <xf numFmtId="0" fontId="0" fillId="0" borderId="25" xfId="0" applyBorder="1"/>
    <xf numFmtId="0" fontId="0" fillId="0" borderId="4" xfId="0" applyBorder="1" applyAlignment="1">
      <alignment horizontal="center"/>
    </xf>
    <xf numFmtId="0" fontId="0" fillId="0" borderId="4" xfId="0" applyBorder="1"/>
    <xf numFmtId="0" fontId="0" fillId="0" borderId="4" xfId="0" applyFill="1" applyBorder="1" applyAlignment="1">
      <alignment horizontal="center"/>
    </xf>
    <xf numFmtId="0" fontId="0" fillId="0" borderId="4" xfId="0" applyFill="1" applyBorder="1"/>
    <xf numFmtId="164" fontId="0" fillId="0" borderId="25" xfId="1" applyFont="1" applyBorder="1"/>
    <xf numFmtId="164" fontId="0" fillId="0" borderId="4" xfId="1" applyFont="1" applyBorder="1"/>
    <xf numFmtId="0" fontId="6" fillId="3" borderId="16" xfId="0" applyFont="1" applyFill="1" applyBorder="1" applyAlignment="1">
      <alignment horizontal="left" wrapText="1"/>
    </xf>
    <xf numFmtId="0" fontId="6" fillId="3" borderId="17" xfId="0" applyFont="1" applyFill="1" applyBorder="1" applyAlignment="1">
      <alignment horizontal="left" wrapText="1"/>
    </xf>
    <xf numFmtId="0" fontId="6" fillId="3" borderId="18" xfId="0" applyFont="1" applyFill="1" applyBorder="1" applyAlignment="1">
      <alignment horizontal="left" wrapText="1"/>
    </xf>
    <xf numFmtId="0" fontId="6" fillId="3" borderId="19" xfId="0" applyFont="1" applyFill="1" applyBorder="1" applyAlignment="1">
      <alignment horizontal="left" wrapText="1"/>
    </xf>
    <xf numFmtId="0" fontId="6" fillId="3" borderId="20" xfId="0" applyFont="1" applyFill="1" applyBorder="1" applyAlignment="1">
      <alignment horizontal="left" wrapText="1"/>
    </xf>
    <xf numFmtId="0" fontId="6" fillId="3" borderId="21" xfId="0" applyFont="1" applyFill="1" applyBorder="1" applyAlignment="1">
      <alignment horizontal="left" wrapText="1"/>
    </xf>
    <xf numFmtId="164" fontId="2" fillId="0" borderId="0" xfId="1" applyFont="1"/>
    <xf numFmtId="164" fontId="21" fillId="0" borderId="0" xfId="1" applyFont="1" applyProtection="1"/>
    <xf numFmtId="164" fontId="12" fillId="0" borderId="0" xfId="1" applyFont="1"/>
    <xf numFmtId="164" fontId="4" fillId="3" borderId="2" xfId="1" applyFont="1" applyFill="1" applyBorder="1" applyAlignment="1">
      <alignment horizontal="center" vertical="center" wrapText="1"/>
    </xf>
    <xf numFmtId="164" fontId="23" fillId="0" borderId="26" xfId="1" applyFont="1" applyBorder="1" applyAlignment="1">
      <alignment horizontal="center" vertical="center" wrapText="1"/>
    </xf>
    <xf numFmtId="164" fontId="4" fillId="6" borderId="2" xfId="1" applyFont="1" applyFill="1" applyBorder="1" applyAlignment="1">
      <alignment horizontal="center" vertical="center" wrapText="1"/>
    </xf>
    <xf numFmtId="164" fontId="0" fillId="0" borderId="25" xfId="1" applyFont="1" applyBorder="1" applyAlignment="1">
      <alignment horizontal="center"/>
    </xf>
    <xf numFmtId="164" fontId="0" fillId="0" borderId="25" xfId="1" applyFont="1" applyBorder="1" applyAlignment="1">
      <alignment horizontal="right"/>
    </xf>
    <xf numFmtId="164" fontId="0" fillId="0" borderId="4" xfId="1" applyFont="1" applyBorder="1" applyAlignment="1">
      <alignment horizontal="center"/>
    </xf>
    <xf numFmtId="164" fontId="0" fillId="0" borderId="4" xfId="1" applyFont="1" applyBorder="1" applyAlignment="1">
      <alignment horizontal="right"/>
    </xf>
    <xf numFmtId="164" fontId="0" fillId="0" borderId="4" xfId="1" applyFont="1" applyBorder="1" applyAlignment="1"/>
    <xf numFmtId="164" fontId="0" fillId="0" borderId="4" xfId="1" applyFont="1" applyFill="1" applyBorder="1"/>
    <xf numFmtId="164" fontId="0" fillId="0" borderId="4" xfId="1" applyFont="1" applyFill="1" applyBorder="1" applyAlignment="1">
      <alignment horizontal="center"/>
    </xf>
    <xf numFmtId="164" fontId="0" fillId="0" borderId="0" xfId="1" applyFont="1" applyAlignment="1"/>
    <xf numFmtId="164" fontId="12" fillId="0" borderId="0" xfId="1" applyFont="1" applyAlignment="1"/>
    <xf numFmtId="164" fontId="0" fillId="0" borderId="25" xfId="1" applyFont="1" applyBorder="1" applyAlignment="1">
      <alignment horizontal="center" vertical="center"/>
    </xf>
    <xf numFmtId="164" fontId="0" fillId="0" borderId="4" xfId="1" applyFont="1" applyBorder="1" applyAlignment="1">
      <alignment horizontal="center" vertical="center"/>
    </xf>
    <xf numFmtId="164" fontId="0" fillId="0" borderId="4" xfId="1" applyFont="1" applyFill="1" applyBorder="1" applyAlignment="1">
      <alignment horizontal="center" vertical="center"/>
    </xf>
  </cellXfs>
  <cellStyles count="4">
    <cellStyle name="Comma" xfId="1" builtinId="3"/>
    <cellStyle name="Normal" xfId="0" builtinId="0"/>
    <cellStyle name="Normal 2" xfId="2"/>
    <cellStyle name="Normal 2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sheetPr codeName="Sheet1">
    <tabColor rgb="FF0070C0"/>
  </sheetPr>
  <dimension ref="B1:DQ859"/>
  <sheetViews>
    <sheetView topLeftCell="U1" zoomScale="70" zoomScaleNormal="70" workbookViewId="0">
      <pane ySplit="14" topLeftCell="A132" activePane="bottomLeft" state="frozen"/>
      <selection pane="bottomLeft" activeCell="AK140" sqref="AK140"/>
    </sheetView>
  </sheetViews>
  <sheetFormatPr defaultColWidth="14.42578125" defaultRowHeight="15" customHeight="1" outlineLevelRow="1"/>
  <cols>
    <col min="1" max="1" width="4.7109375" customWidth="1"/>
    <col min="2" max="2" width="19.42578125" customWidth="1"/>
    <col min="3" max="3" width="28.5703125" customWidth="1"/>
    <col min="4" max="4" width="22.7109375" customWidth="1"/>
    <col min="5" max="5" width="27.140625" customWidth="1"/>
    <col min="6" max="6" width="21.5703125" customWidth="1"/>
    <col min="7" max="7" width="16.28515625" customWidth="1"/>
    <col min="8" max="8" width="16.28515625" style="108" customWidth="1"/>
    <col min="9" max="10" width="16.28515625" customWidth="1"/>
    <col min="11" max="25" width="16.28515625" style="108" customWidth="1"/>
    <col min="26" max="26" width="16.28515625" style="108" hidden="1" customWidth="1"/>
    <col min="27" max="27" width="16.28515625" style="108" customWidth="1"/>
    <col min="28" max="28" width="16.28515625" style="108" hidden="1" customWidth="1"/>
    <col min="29" max="29" width="17.5703125" style="108" customWidth="1"/>
    <col min="30" max="36" width="16.28515625" style="108" customWidth="1"/>
    <col min="37" max="37" width="21.85546875" style="108" customWidth="1"/>
  </cols>
  <sheetData>
    <row r="1" spans="2:121" ht="12.75" customHeight="1">
      <c r="B1" s="1"/>
      <c r="C1" s="1"/>
      <c r="D1" s="1"/>
      <c r="E1" s="1"/>
      <c r="F1" s="1"/>
      <c r="G1" s="1"/>
      <c r="H1" s="95"/>
      <c r="I1" s="1"/>
      <c r="J1" s="1"/>
      <c r="K1" s="95"/>
      <c r="L1" s="95"/>
      <c r="M1" s="95"/>
      <c r="N1" s="95"/>
      <c r="O1" s="95"/>
      <c r="P1" s="95"/>
      <c r="Q1" s="95"/>
      <c r="R1" s="95"/>
      <c r="S1" s="95"/>
      <c r="T1" s="95"/>
      <c r="U1" s="95"/>
      <c r="V1" s="95"/>
      <c r="W1" s="95"/>
      <c r="X1" s="95"/>
      <c r="Y1" s="95"/>
      <c r="Z1" s="95"/>
      <c r="AA1" s="95"/>
      <c r="AB1" s="95"/>
      <c r="AC1" s="95"/>
      <c r="AD1" s="95"/>
      <c r="AE1" s="95"/>
      <c r="AF1" s="95"/>
      <c r="AG1" s="95"/>
      <c r="AH1" s="95"/>
      <c r="AI1" s="95"/>
      <c r="AJ1" s="95"/>
      <c r="AK1" s="95"/>
    </row>
    <row r="2" spans="2:121" s="60" customFormat="1" ht="16.5">
      <c r="B2" s="61" t="s">
        <v>1</v>
      </c>
      <c r="C2" s="62"/>
      <c r="D2" s="62"/>
      <c r="E2" s="63"/>
      <c r="F2" s="63"/>
      <c r="G2" s="63"/>
      <c r="H2" s="96"/>
      <c r="I2" s="63"/>
      <c r="J2" s="63"/>
      <c r="K2" s="96"/>
      <c r="L2" s="96"/>
      <c r="M2" s="96"/>
      <c r="N2" s="96"/>
      <c r="O2" s="96"/>
      <c r="P2" s="96"/>
      <c r="Q2" s="96"/>
      <c r="R2" s="96"/>
      <c r="S2" s="96"/>
      <c r="T2" s="96"/>
      <c r="U2" s="96"/>
      <c r="V2" s="96"/>
      <c r="W2" s="96"/>
      <c r="X2" s="96"/>
      <c r="Y2" s="96"/>
      <c r="Z2" s="96"/>
      <c r="AA2" s="96"/>
      <c r="AB2" s="96"/>
      <c r="AC2" s="96"/>
      <c r="AD2" s="96"/>
      <c r="AE2" s="96"/>
      <c r="AF2" s="96"/>
      <c r="AG2" s="96"/>
      <c r="AH2" s="96"/>
      <c r="AI2" s="96"/>
      <c r="AJ2" s="96"/>
      <c r="AK2" s="96"/>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row>
    <row r="3" spans="2:121" ht="12.75" customHeight="1">
      <c r="B3" s="1"/>
      <c r="C3" s="1"/>
      <c r="D3" s="1"/>
      <c r="E3" s="1"/>
      <c r="F3" s="1"/>
      <c r="G3" s="1"/>
      <c r="H3" s="95"/>
      <c r="I3" s="1"/>
      <c r="J3" s="1"/>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row>
    <row r="4" spans="2:121" ht="12.75" hidden="1" customHeight="1" outlineLevel="1">
      <c r="B4" s="1" t="s">
        <v>208</v>
      </c>
      <c r="C4" s="1">
        <v>43</v>
      </c>
      <c r="D4" s="1"/>
      <c r="E4" s="1"/>
      <c r="F4" s="1"/>
      <c r="G4" s="1"/>
      <c r="H4" s="95"/>
      <c r="I4" s="1"/>
      <c r="J4" s="1"/>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row>
    <row r="5" spans="2:121" ht="12.75" customHeight="1" collapsed="1">
      <c r="B5" s="66" t="s">
        <v>2</v>
      </c>
      <c r="C5" s="67"/>
      <c r="D5" s="68"/>
      <c r="E5" s="68"/>
      <c r="F5" s="69"/>
      <c r="G5" s="1"/>
      <c r="H5" s="95"/>
      <c r="I5" s="1"/>
      <c r="J5" s="1"/>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row>
    <row r="6" spans="2:121" ht="12.75" customHeight="1">
      <c r="B6" s="70" t="s">
        <v>3</v>
      </c>
      <c r="C6" s="71"/>
      <c r="D6" s="72"/>
      <c r="E6" s="72"/>
      <c r="F6" s="73"/>
      <c r="G6" s="1"/>
      <c r="H6" s="95"/>
      <c r="I6" s="1"/>
      <c r="J6" s="1"/>
      <c r="K6" s="95"/>
      <c r="L6" s="95"/>
      <c r="M6" s="95"/>
      <c r="N6" s="95"/>
      <c r="O6" s="95"/>
      <c r="P6" s="95"/>
      <c r="Q6" s="95"/>
      <c r="R6" s="95"/>
      <c r="S6" s="95"/>
      <c r="T6" s="95"/>
      <c r="U6" s="95"/>
      <c r="V6" s="95"/>
      <c r="W6" s="95"/>
      <c r="X6" s="95"/>
      <c r="Y6" s="95"/>
      <c r="Z6" s="95"/>
      <c r="AA6" s="95"/>
      <c r="AB6" s="95"/>
      <c r="AC6" s="95"/>
      <c r="AD6" s="95"/>
      <c r="AE6" s="95"/>
      <c r="AF6" s="95"/>
      <c r="AG6" s="95"/>
      <c r="AH6" s="95"/>
      <c r="AI6" s="95"/>
      <c r="AJ6" s="95"/>
      <c r="AK6" s="95"/>
    </row>
    <row r="7" spans="2:121" ht="12.75" customHeight="1">
      <c r="B7" s="70" t="s">
        <v>114</v>
      </c>
      <c r="C7" s="71"/>
      <c r="D7" s="72"/>
      <c r="E7" s="72"/>
      <c r="F7" s="73"/>
      <c r="G7" s="1"/>
      <c r="H7" s="95"/>
      <c r="I7" s="1"/>
      <c r="J7" s="1"/>
      <c r="K7" s="95"/>
      <c r="L7" s="95"/>
      <c r="M7" s="95"/>
      <c r="N7" s="95"/>
      <c r="O7" s="95"/>
      <c r="P7" s="95"/>
      <c r="Q7" s="95"/>
      <c r="R7" s="95"/>
      <c r="S7" s="95"/>
      <c r="T7" s="95"/>
      <c r="U7" s="95"/>
      <c r="V7" s="95"/>
      <c r="W7" s="95"/>
      <c r="X7" s="95"/>
      <c r="Y7" s="95"/>
      <c r="Z7" s="95"/>
      <c r="AA7" s="95"/>
      <c r="AB7" s="95"/>
      <c r="AC7" s="95"/>
      <c r="AD7" s="95"/>
      <c r="AE7" s="95"/>
      <c r="AF7" s="95"/>
      <c r="AG7" s="95"/>
      <c r="AH7" s="95"/>
      <c r="AI7" s="95"/>
      <c r="AJ7" s="95"/>
      <c r="AK7" s="95"/>
    </row>
    <row r="8" spans="2:121" ht="12.75" customHeight="1">
      <c r="B8" s="74" t="s">
        <v>207</v>
      </c>
      <c r="C8" s="24">
        <v>2017</v>
      </c>
      <c r="D8" s="72"/>
      <c r="E8" s="72"/>
      <c r="F8" s="73"/>
      <c r="G8" s="1"/>
      <c r="H8" s="95"/>
      <c r="I8" s="1"/>
      <c r="J8" s="1"/>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row>
    <row r="9" spans="2:121" ht="12.75" customHeight="1">
      <c r="B9" s="75" t="s">
        <v>4</v>
      </c>
      <c r="C9" s="76"/>
      <c r="D9" s="77"/>
      <c r="E9" s="77"/>
      <c r="F9" s="78"/>
      <c r="G9" s="1"/>
      <c r="H9" s="95"/>
      <c r="I9" s="1"/>
      <c r="J9" s="1"/>
      <c r="K9" s="95"/>
      <c r="L9" s="95"/>
      <c r="M9" s="95"/>
      <c r="N9" s="95"/>
      <c r="O9" s="95"/>
      <c r="P9" s="95"/>
      <c r="Q9" s="95"/>
      <c r="R9" s="95"/>
      <c r="S9" s="95"/>
      <c r="T9" s="95"/>
      <c r="U9" s="95"/>
      <c r="V9" s="95"/>
      <c r="W9" s="95"/>
      <c r="X9" s="95"/>
      <c r="Y9" s="95"/>
      <c r="Z9" s="95"/>
      <c r="AA9" s="95"/>
      <c r="AB9" s="95"/>
      <c r="AC9" s="95"/>
      <c r="AD9" s="95"/>
      <c r="AE9" s="95"/>
      <c r="AF9" s="95"/>
      <c r="AG9" s="95"/>
      <c r="AH9" s="95"/>
      <c r="AI9" s="95"/>
      <c r="AJ9" s="95"/>
      <c r="AK9" s="95"/>
    </row>
    <row r="10" spans="2:121" ht="12.75" customHeight="1">
      <c r="B10" s="1"/>
      <c r="C10" s="1"/>
      <c r="D10" s="1"/>
      <c r="E10" s="1"/>
      <c r="F10" s="1"/>
      <c r="G10" s="1"/>
      <c r="H10" s="95"/>
      <c r="I10" s="1"/>
      <c r="J10" s="1"/>
      <c r="K10" s="95"/>
      <c r="L10" s="95"/>
      <c r="M10" s="95"/>
      <c r="N10" s="95"/>
      <c r="O10" s="95"/>
      <c r="P10" s="95"/>
      <c r="Q10" s="95"/>
      <c r="R10" s="95"/>
      <c r="S10" s="95"/>
      <c r="T10" s="95"/>
      <c r="U10" s="95"/>
      <c r="V10" s="95"/>
      <c r="W10" s="95"/>
      <c r="X10" s="95"/>
      <c r="Y10" s="95"/>
      <c r="Z10" s="95"/>
      <c r="AA10" s="95"/>
      <c r="AB10" s="95"/>
      <c r="AC10" s="95"/>
      <c r="AD10" s="95"/>
      <c r="AE10" s="95"/>
      <c r="AF10" s="95"/>
      <c r="AG10" s="95"/>
      <c r="AH10" s="95"/>
      <c r="AI10" s="95"/>
      <c r="AJ10" s="95"/>
      <c r="AK10" s="95"/>
    </row>
    <row r="11" spans="2:121" s="22" customFormat="1" ht="16.5">
      <c r="H11" s="109"/>
      <c r="K11" s="97"/>
      <c r="L11" s="97"/>
      <c r="M11" s="97"/>
      <c r="N11" s="97"/>
      <c r="O11" s="97"/>
      <c r="P11" s="97"/>
      <c r="Q11" s="97"/>
      <c r="R11" s="97"/>
      <c r="S11" s="97"/>
      <c r="T11" s="97"/>
      <c r="U11" s="97"/>
      <c r="V11" s="97"/>
      <c r="W11" s="97"/>
      <c r="X11" s="97"/>
      <c r="Y11" s="97"/>
      <c r="Z11" s="97"/>
      <c r="AA11" s="97"/>
      <c r="AB11" s="97"/>
      <c r="AC11" s="97"/>
      <c r="AD11" s="97"/>
      <c r="AE11" s="97"/>
      <c r="AF11" s="97"/>
      <c r="AG11" s="97"/>
      <c r="AH11" s="97"/>
      <c r="AI11" s="97"/>
      <c r="AJ11" s="97"/>
      <c r="AK11" s="97"/>
    </row>
    <row r="12" spans="2:121" s="22" customFormat="1" ht="16.5">
      <c r="B12" s="23" t="s">
        <v>129</v>
      </c>
      <c r="C12" s="24" t="s">
        <v>209</v>
      </c>
      <c r="F12" s="25"/>
      <c r="H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row>
    <row r="13" spans="2:121" s="22" customFormat="1" ht="17.25" thickBot="1">
      <c r="F13" s="25"/>
      <c r="H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row>
    <row r="14" spans="2:121" ht="81.75" customHeight="1" thickBot="1">
      <c r="B14" s="65" t="s">
        <v>5</v>
      </c>
      <c r="C14" s="65" t="s">
        <v>12</v>
      </c>
      <c r="D14" s="65" t="s">
        <v>13</v>
      </c>
      <c r="E14" s="65" t="s">
        <v>14</v>
      </c>
      <c r="F14" s="65" t="s">
        <v>15</v>
      </c>
      <c r="G14" s="65" t="s">
        <v>16</v>
      </c>
      <c r="H14" s="98" t="s">
        <v>118</v>
      </c>
      <c r="I14" s="65" t="s">
        <v>120</v>
      </c>
      <c r="J14" s="65" t="s">
        <v>119</v>
      </c>
      <c r="K14" s="98" t="s">
        <v>17</v>
      </c>
      <c r="L14" s="98" t="s">
        <v>18</v>
      </c>
      <c r="M14" s="98" t="s">
        <v>19</v>
      </c>
      <c r="N14" s="98" t="s">
        <v>20</v>
      </c>
      <c r="O14" s="98" t="s">
        <v>21</v>
      </c>
      <c r="P14" s="98" t="s">
        <v>22</v>
      </c>
      <c r="Q14" s="98" t="s">
        <v>23</v>
      </c>
      <c r="R14" s="98" t="s">
        <v>24</v>
      </c>
      <c r="S14" s="98" t="s">
        <v>25</v>
      </c>
      <c r="T14" s="98" t="s">
        <v>26</v>
      </c>
      <c r="U14" s="98" t="s">
        <v>27</v>
      </c>
      <c r="V14" s="98" t="s">
        <v>28</v>
      </c>
      <c r="W14" s="98" t="s">
        <v>29</v>
      </c>
      <c r="X14" s="98" t="s">
        <v>30</v>
      </c>
      <c r="Y14" s="98" t="s">
        <v>31</v>
      </c>
      <c r="Z14" s="98" t="s">
        <v>32</v>
      </c>
      <c r="AA14" s="98" t="s">
        <v>33</v>
      </c>
      <c r="AB14" s="98" t="s">
        <v>34</v>
      </c>
      <c r="AC14" s="99" t="s">
        <v>281</v>
      </c>
      <c r="AD14" s="98" t="s">
        <v>37</v>
      </c>
      <c r="AE14" s="98" t="s">
        <v>38</v>
      </c>
      <c r="AF14" s="98" t="s">
        <v>39</v>
      </c>
      <c r="AG14" s="98" t="s">
        <v>40</v>
      </c>
      <c r="AH14" s="98" t="s">
        <v>42</v>
      </c>
      <c r="AI14" s="98" t="s">
        <v>43</v>
      </c>
      <c r="AJ14" s="98" t="s">
        <v>44</v>
      </c>
      <c r="AK14" s="100" t="s">
        <v>45</v>
      </c>
    </row>
    <row r="15" spans="2:121" ht="12.75" customHeight="1">
      <c r="B15" s="5">
        <v>1</v>
      </c>
      <c r="C15" s="82" t="s">
        <v>352</v>
      </c>
      <c r="D15" s="82" t="s">
        <v>210</v>
      </c>
      <c r="E15" s="82" t="s">
        <v>211</v>
      </c>
      <c r="F15" s="82" t="s">
        <v>213</v>
      </c>
      <c r="G15" s="82" t="s">
        <v>212</v>
      </c>
      <c r="H15" s="110">
        <v>570</v>
      </c>
      <c r="I15" s="82" t="s">
        <v>266</v>
      </c>
      <c r="J15" s="82" t="s">
        <v>267</v>
      </c>
      <c r="K15" s="87">
        <v>9880</v>
      </c>
      <c r="L15" s="64"/>
      <c r="M15" s="64"/>
      <c r="N15" s="101" t="s">
        <v>280</v>
      </c>
      <c r="O15" s="102">
        <v>3000</v>
      </c>
      <c r="P15" s="64"/>
      <c r="Q15" s="102"/>
      <c r="R15" s="102">
        <v>1000</v>
      </c>
      <c r="S15" s="64"/>
      <c r="T15" s="64"/>
      <c r="U15" s="64"/>
      <c r="V15" s="64"/>
      <c r="W15" s="64"/>
      <c r="X15" s="87">
        <v>209.82</v>
      </c>
      <c r="Y15" s="101" t="s">
        <v>280</v>
      </c>
      <c r="Z15" s="87"/>
      <c r="AA15" s="87">
        <v>2000</v>
      </c>
      <c r="AB15" s="64"/>
      <c r="AC15" s="87">
        <v>475.8</v>
      </c>
      <c r="AD15" s="64"/>
      <c r="AE15" s="64"/>
      <c r="AF15" s="64"/>
      <c r="AG15" s="64"/>
      <c r="AH15" s="101" t="s">
        <v>280</v>
      </c>
      <c r="AI15" s="101" t="s">
        <v>280</v>
      </c>
      <c r="AJ15" s="64"/>
      <c r="AK15" s="87">
        <v>10070.799999999999</v>
      </c>
    </row>
    <row r="16" spans="2:121" ht="12.75" customHeight="1">
      <c r="B16" s="5">
        <v>2</v>
      </c>
      <c r="C16" s="84" t="s">
        <v>353</v>
      </c>
      <c r="D16" s="84" t="s">
        <v>210</v>
      </c>
      <c r="E16" s="84" t="s">
        <v>211</v>
      </c>
      <c r="F16" s="84" t="s">
        <v>213</v>
      </c>
      <c r="G16" s="84" t="s">
        <v>214</v>
      </c>
      <c r="H16" s="111">
        <v>509.32</v>
      </c>
      <c r="I16" s="84" t="s">
        <v>266</v>
      </c>
      <c r="J16" s="84" t="s">
        <v>267</v>
      </c>
      <c r="K16" s="88">
        <v>13242.57</v>
      </c>
      <c r="L16" s="64"/>
      <c r="M16" s="64"/>
      <c r="N16" s="103" t="s">
        <v>280</v>
      </c>
      <c r="O16" s="102">
        <v>3000</v>
      </c>
      <c r="P16" s="64"/>
      <c r="Q16" s="102"/>
      <c r="R16" s="104">
        <v>1000</v>
      </c>
      <c r="S16" s="64"/>
      <c r="T16" s="64"/>
      <c r="U16" s="64"/>
      <c r="V16" s="64"/>
      <c r="W16" s="64"/>
      <c r="X16" s="88">
        <v>1597.25</v>
      </c>
      <c r="Y16" s="104">
        <v>13242.57</v>
      </c>
      <c r="Z16" s="88"/>
      <c r="AA16" s="88">
        <v>13242.58</v>
      </c>
      <c r="AB16" s="64"/>
      <c r="AC16" s="88">
        <v>6272.2</v>
      </c>
      <c r="AD16" s="64"/>
      <c r="AE16" s="64"/>
      <c r="AF16" s="64"/>
      <c r="AG16" s="64"/>
      <c r="AH16" s="103" t="s">
        <v>280</v>
      </c>
      <c r="AI16" s="101" t="s">
        <v>280</v>
      </c>
      <c r="AJ16" s="64"/>
      <c r="AK16" s="88">
        <v>109689.28</v>
      </c>
    </row>
    <row r="17" spans="2:37" ht="12.75" customHeight="1">
      <c r="B17" s="5">
        <v>3</v>
      </c>
      <c r="C17" s="84" t="s">
        <v>354</v>
      </c>
      <c r="D17" s="84" t="s">
        <v>215</v>
      </c>
      <c r="E17" s="84" t="s">
        <v>211</v>
      </c>
      <c r="F17" s="84" t="s">
        <v>213</v>
      </c>
      <c r="G17" s="84" t="s">
        <v>214</v>
      </c>
      <c r="H17" s="111">
        <v>498.71</v>
      </c>
      <c r="I17" s="84" t="s">
        <v>266</v>
      </c>
      <c r="J17" s="84" t="s">
        <v>267</v>
      </c>
      <c r="K17" s="88">
        <v>12966.47</v>
      </c>
      <c r="L17" s="64"/>
      <c r="M17" s="64"/>
      <c r="N17" s="103" t="s">
        <v>280</v>
      </c>
      <c r="O17" s="102">
        <v>3000</v>
      </c>
      <c r="P17" s="64"/>
      <c r="Q17" s="102"/>
      <c r="R17" s="104">
        <v>1000</v>
      </c>
      <c r="S17" s="64"/>
      <c r="T17" s="64"/>
      <c r="U17" s="64"/>
      <c r="V17" s="64"/>
      <c r="W17" s="64"/>
      <c r="X17" s="88">
        <v>592.15</v>
      </c>
      <c r="Y17" s="104">
        <v>12966.47</v>
      </c>
      <c r="Z17" s="88"/>
      <c r="AA17" s="88">
        <v>12966.48</v>
      </c>
      <c r="AB17" s="64"/>
      <c r="AC17" s="88">
        <v>8009.2</v>
      </c>
      <c r="AD17" s="64"/>
      <c r="AE17" s="64"/>
      <c r="AF17" s="64"/>
      <c r="AG17" s="64"/>
      <c r="AH17" s="103" t="s">
        <v>280</v>
      </c>
      <c r="AI17" s="101" t="s">
        <v>280</v>
      </c>
      <c r="AJ17" s="64"/>
      <c r="AK17" s="88">
        <v>137649.66</v>
      </c>
    </row>
    <row r="18" spans="2:37" ht="12.75" customHeight="1">
      <c r="B18" s="5">
        <v>4</v>
      </c>
      <c r="C18" s="84" t="s">
        <v>355</v>
      </c>
      <c r="D18" s="84" t="s">
        <v>210</v>
      </c>
      <c r="E18" s="84" t="s">
        <v>211</v>
      </c>
      <c r="F18" s="84" t="s">
        <v>213</v>
      </c>
      <c r="G18" s="84" t="s">
        <v>214</v>
      </c>
      <c r="H18" s="111">
        <v>491.18</v>
      </c>
      <c r="I18" s="84" t="s">
        <v>266</v>
      </c>
      <c r="J18" s="84" t="s">
        <v>267</v>
      </c>
      <c r="K18" s="88">
        <v>12770.91</v>
      </c>
      <c r="L18" s="64"/>
      <c r="M18" s="64"/>
      <c r="N18" s="103" t="s">
        <v>280</v>
      </c>
      <c r="O18" s="102">
        <v>3000</v>
      </c>
      <c r="P18" s="64"/>
      <c r="Q18" s="102"/>
      <c r="R18" s="104">
        <v>1000</v>
      </c>
      <c r="S18" s="64"/>
      <c r="T18" s="64"/>
      <c r="U18" s="64"/>
      <c r="V18" s="64"/>
      <c r="W18" s="64"/>
      <c r="X18" s="88">
        <v>3359.58</v>
      </c>
      <c r="Y18" s="104">
        <v>12770.91</v>
      </c>
      <c r="Z18" s="88"/>
      <c r="AA18" s="88">
        <v>8939.64</v>
      </c>
      <c r="AB18" s="64"/>
      <c r="AC18" s="88">
        <v>7814</v>
      </c>
      <c r="AD18" s="64"/>
      <c r="AE18" s="64"/>
      <c r="AF18" s="64"/>
      <c r="AG18" s="64"/>
      <c r="AH18" s="103" t="s">
        <v>280</v>
      </c>
      <c r="AI18" s="101" t="s">
        <v>280</v>
      </c>
      <c r="AJ18" s="64"/>
      <c r="AK18" s="88">
        <v>139357.32</v>
      </c>
    </row>
    <row r="19" spans="2:37" ht="12.75" customHeight="1">
      <c r="B19" s="5">
        <v>5</v>
      </c>
      <c r="C19" s="84" t="s">
        <v>356</v>
      </c>
      <c r="D19" s="84" t="s">
        <v>216</v>
      </c>
      <c r="E19" s="84" t="s">
        <v>217</v>
      </c>
      <c r="F19" s="84" t="s">
        <v>213</v>
      </c>
      <c r="G19" s="84" t="s">
        <v>214</v>
      </c>
      <c r="H19" s="111">
        <v>448.4</v>
      </c>
      <c r="I19" s="84" t="s">
        <v>266</v>
      </c>
      <c r="J19" s="84" t="s">
        <v>267</v>
      </c>
      <c r="K19" s="88">
        <v>11658.45</v>
      </c>
      <c r="L19" s="64"/>
      <c r="M19" s="64"/>
      <c r="N19" s="103" t="s">
        <v>280</v>
      </c>
      <c r="O19" s="102">
        <v>3000</v>
      </c>
      <c r="P19" s="64"/>
      <c r="Q19" s="102"/>
      <c r="R19" s="103" t="s">
        <v>280</v>
      </c>
      <c r="S19" s="64"/>
      <c r="T19" s="64"/>
      <c r="U19" s="64"/>
      <c r="V19" s="64"/>
      <c r="W19" s="64"/>
      <c r="X19" s="103" t="s">
        <v>280</v>
      </c>
      <c r="Y19" s="88">
        <v>11658.45</v>
      </c>
      <c r="Z19" s="88"/>
      <c r="AA19" s="88">
        <v>9326.77</v>
      </c>
      <c r="AB19" s="64"/>
      <c r="AC19" s="88">
        <v>6866.7</v>
      </c>
      <c r="AD19" s="64"/>
      <c r="AE19" s="64"/>
      <c r="AF19" s="64"/>
      <c r="AG19" s="64"/>
      <c r="AH19" s="103" t="s">
        <v>280</v>
      </c>
      <c r="AI19" s="101" t="s">
        <v>280</v>
      </c>
      <c r="AJ19" s="64"/>
      <c r="AK19" s="88">
        <v>123811.04</v>
      </c>
    </row>
    <row r="20" spans="2:37" ht="12.75" customHeight="1">
      <c r="B20" s="5">
        <v>6</v>
      </c>
      <c r="C20" s="84" t="s">
        <v>357</v>
      </c>
      <c r="D20" s="84" t="s">
        <v>218</v>
      </c>
      <c r="E20" s="84" t="s">
        <v>219</v>
      </c>
      <c r="F20" s="84" t="s">
        <v>213</v>
      </c>
      <c r="G20" s="84" t="s">
        <v>214</v>
      </c>
      <c r="H20" s="111">
        <v>438.9</v>
      </c>
      <c r="I20" s="84" t="s">
        <v>266</v>
      </c>
      <c r="J20" s="84" t="s">
        <v>267</v>
      </c>
      <c r="K20" s="88">
        <v>11411.4</v>
      </c>
      <c r="L20" s="64"/>
      <c r="M20" s="64"/>
      <c r="N20" s="103" t="s">
        <v>280</v>
      </c>
      <c r="O20" s="102">
        <v>3000</v>
      </c>
      <c r="P20" s="64"/>
      <c r="Q20" s="102"/>
      <c r="R20" s="103" t="s">
        <v>280</v>
      </c>
      <c r="S20" s="64"/>
      <c r="T20" s="64"/>
      <c r="U20" s="64"/>
      <c r="V20" s="64"/>
      <c r="W20" s="64"/>
      <c r="X20" s="103" t="s">
        <v>280</v>
      </c>
      <c r="Y20" s="88">
        <v>11411.4</v>
      </c>
      <c r="Z20" s="88"/>
      <c r="AA20" s="88">
        <v>2852.85</v>
      </c>
      <c r="AB20" s="64"/>
      <c r="AC20" s="88">
        <v>5417.4</v>
      </c>
      <c r="AD20" s="64"/>
      <c r="AE20" s="64"/>
      <c r="AF20" s="64"/>
      <c r="AG20" s="64"/>
      <c r="AH20" s="103" t="s">
        <v>280</v>
      </c>
      <c r="AI20" s="101" t="s">
        <v>280</v>
      </c>
      <c r="AJ20" s="64"/>
      <c r="AK20" s="88">
        <v>101826.73</v>
      </c>
    </row>
    <row r="21" spans="2:37" ht="12.75" customHeight="1">
      <c r="B21" s="5">
        <v>7</v>
      </c>
      <c r="C21" s="84" t="s">
        <v>358</v>
      </c>
      <c r="D21" s="84" t="s">
        <v>210</v>
      </c>
      <c r="E21" s="84" t="s">
        <v>211</v>
      </c>
      <c r="F21" s="84" t="s">
        <v>213</v>
      </c>
      <c r="G21" s="84" t="s">
        <v>214</v>
      </c>
      <c r="H21" s="111">
        <v>483.88</v>
      </c>
      <c r="I21" s="84" t="s">
        <v>266</v>
      </c>
      <c r="J21" s="84" t="s">
        <v>267</v>
      </c>
      <c r="K21" s="88">
        <v>12581.07</v>
      </c>
      <c r="L21" s="64"/>
      <c r="M21" s="64"/>
      <c r="N21" s="103" t="s">
        <v>280</v>
      </c>
      <c r="O21" s="102">
        <v>3000</v>
      </c>
      <c r="P21" s="64"/>
      <c r="Q21" s="102"/>
      <c r="R21" s="104">
        <v>1000</v>
      </c>
      <c r="S21" s="64"/>
      <c r="T21" s="64"/>
      <c r="U21" s="64"/>
      <c r="V21" s="64"/>
      <c r="W21" s="64"/>
      <c r="X21" s="88">
        <v>3113.69</v>
      </c>
      <c r="Y21" s="104">
        <v>4886</v>
      </c>
      <c r="Z21" s="88"/>
      <c r="AA21" s="88">
        <v>3145.27</v>
      </c>
      <c r="AB21" s="64"/>
      <c r="AC21" s="88">
        <v>3561.05</v>
      </c>
      <c r="AD21" s="64"/>
      <c r="AE21" s="64"/>
      <c r="AF21" s="64"/>
      <c r="AG21" s="64"/>
      <c r="AH21" s="103" t="s">
        <v>280</v>
      </c>
      <c r="AI21" s="101" t="s">
        <v>280</v>
      </c>
      <c r="AJ21" s="64"/>
      <c r="AK21" s="88">
        <v>75411.64</v>
      </c>
    </row>
    <row r="22" spans="2:37" ht="12.75" customHeight="1">
      <c r="B22" s="5">
        <v>8</v>
      </c>
      <c r="C22" s="84" t="s">
        <v>359</v>
      </c>
      <c r="D22" s="84" t="s">
        <v>220</v>
      </c>
      <c r="E22" s="84" t="s">
        <v>221</v>
      </c>
      <c r="F22" s="84" t="s">
        <v>213</v>
      </c>
      <c r="G22" s="84" t="s">
        <v>214</v>
      </c>
      <c r="H22" s="111">
        <v>431.48</v>
      </c>
      <c r="I22" s="84" t="s">
        <v>266</v>
      </c>
      <c r="J22" s="84" t="s">
        <v>267</v>
      </c>
      <c r="K22" s="88">
        <v>11218.7</v>
      </c>
      <c r="L22" s="64"/>
      <c r="M22" s="64"/>
      <c r="N22" s="103" t="s">
        <v>280</v>
      </c>
      <c r="O22" s="102">
        <v>3000</v>
      </c>
      <c r="P22" s="64"/>
      <c r="Q22" s="102"/>
      <c r="R22" s="103" t="s">
        <v>280</v>
      </c>
      <c r="S22" s="64"/>
      <c r="T22" s="64"/>
      <c r="U22" s="64"/>
      <c r="V22" s="64"/>
      <c r="W22" s="64"/>
      <c r="X22" s="88">
        <v>6017.18</v>
      </c>
      <c r="Y22" s="88">
        <v>11218.7</v>
      </c>
      <c r="Z22" s="88"/>
      <c r="AA22" s="88">
        <v>11218.7</v>
      </c>
      <c r="AB22" s="64"/>
      <c r="AC22" s="88">
        <v>7523.6</v>
      </c>
      <c r="AD22" s="64"/>
      <c r="AE22" s="64"/>
      <c r="AF22" s="64"/>
      <c r="AG22" s="64"/>
      <c r="AH22" s="103" t="s">
        <v>280</v>
      </c>
      <c r="AI22" s="101" t="s">
        <v>280</v>
      </c>
      <c r="AJ22" s="64"/>
      <c r="AK22" s="88">
        <v>138018.20000000001</v>
      </c>
    </row>
    <row r="23" spans="2:37" ht="12.75" customHeight="1">
      <c r="B23" s="5">
        <v>9</v>
      </c>
      <c r="C23" s="84" t="s">
        <v>360</v>
      </c>
      <c r="D23" s="84" t="s">
        <v>222</v>
      </c>
      <c r="E23" s="84" t="s">
        <v>219</v>
      </c>
      <c r="F23" s="84" t="s">
        <v>213</v>
      </c>
      <c r="G23" s="84" t="s">
        <v>214</v>
      </c>
      <c r="H23" s="111">
        <v>1171.3900000000001</v>
      </c>
      <c r="I23" s="84" t="s">
        <v>266</v>
      </c>
      <c r="J23" s="84" t="s">
        <v>267</v>
      </c>
      <c r="K23" s="88">
        <v>30456.240000000002</v>
      </c>
      <c r="L23" s="64"/>
      <c r="M23" s="64"/>
      <c r="N23" s="103" t="s">
        <v>280</v>
      </c>
      <c r="O23" s="102">
        <v>3000</v>
      </c>
      <c r="P23" s="64"/>
      <c r="Q23" s="102"/>
      <c r="R23" s="104">
        <v>2000</v>
      </c>
      <c r="S23" s="64"/>
      <c r="T23" s="64"/>
      <c r="U23" s="64"/>
      <c r="V23" s="64"/>
      <c r="W23" s="64"/>
      <c r="X23" s="103" t="s">
        <v>280</v>
      </c>
      <c r="Y23" s="88">
        <v>30456.240000000002</v>
      </c>
      <c r="Z23" s="88"/>
      <c r="AA23" s="88">
        <v>30000</v>
      </c>
      <c r="AB23" s="64"/>
      <c r="AC23" s="88">
        <v>12675.6</v>
      </c>
      <c r="AD23" s="64"/>
      <c r="AE23" s="64"/>
      <c r="AF23" s="64"/>
      <c r="AG23" s="64"/>
      <c r="AH23" s="103" t="s">
        <v>280</v>
      </c>
      <c r="AI23" s="101" t="s">
        <v>280</v>
      </c>
      <c r="AJ23" s="64"/>
      <c r="AK23" s="88">
        <v>378150.48</v>
      </c>
    </row>
    <row r="24" spans="2:37" ht="12.75" customHeight="1">
      <c r="B24" s="5">
        <v>10</v>
      </c>
      <c r="C24" s="84" t="s">
        <v>361</v>
      </c>
      <c r="D24" s="84" t="s">
        <v>210</v>
      </c>
      <c r="E24" s="84" t="s">
        <v>211</v>
      </c>
      <c r="F24" s="84" t="s">
        <v>213</v>
      </c>
      <c r="G24" s="84" t="s">
        <v>214</v>
      </c>
      <c r="H24" s="111">
        <v>486.32</v>
      </c>
      <c r="I24" s="84" t="s">
        <v>266</v>
      </c>
      <c r="J24" s="84" t="s">
        <v>267</v>
      </c>
      <c r="K24" s="88">
        <v>12644.35</v>
      </c>
      <c r="L24" s="64"/>
      <c r="M24" s="64"/>
      <c r="N24" s="103" t="s">
        <v>280</v>
      </c>
      <c r="O24" s="102">
        <v>3000</v>
      </c>
      <c r="P24" s="64"/>
      <c r="Q24" s="102"/>
      <c r="R24" s="104">
        <v>1000</v>
      </c>
      <c r="S24" s="64"/>
      <c r="T24" s="64"/>
      <c r="U24" s="64"/>
      <c r="V24" s="64"/>
      <c r="W24" s="64"/>
      <c r="X24" s="88">
        <v>5551.11</v>
      </c>
      <c r="Y24" s="88">
        <v>12644.35</v>
      </c>
      <c r="Z24" s="88"/>
      <c r="AA24" s="88">
        <v>6322.18</v>
      </c>
      <c r="AB24" s="64"/>
      <c r="AC24" s="88">
        <v>7741.6</v>
      </c>
      <c r="AD24" s="64"/>
      <c r="AE24" s="64"/>
      <c r="AF24" s="64"/>
      <c r="AG24" s="64"/>
      <c r="AH24" s="103" t="s">
        <v>280</v>
      </c>
      <c r="AI24" s="101" t="s">
        <v>280</v>
      </c>
      <c r="AJ24" s="64"/>
      <c r="AK24" s="88">
        <v>142503.57999999999</v>
      </c>
    </row>
    <row r="25" spans="2:37" ht="12.75" customHeight="1">
      <c r="B25" s="5">
        <v>11</v>
      </c>
      <c r="C25" s="84" t="s">
        <v>362</v>
      </c>
      <c r="D25" s="84" t="s">
        <v>171</v>
      </c>
      <c r="E25" s="84" t="s">
        <v>221</v>
      </c>
      <c r="F25" s="84" t="s">
        <v>213</v>
      </c>
      <c r="G25" s="84" t="s">
        <v>214</v>
      </c>
      <c r="H25" s="111">
        <v>405.71</v>
      </c>
      <c r="I25" s="84" t="s">
        <v>266</v>
      </c>
      <c r="J25" s="84" t="s">
        <v>267</v>
      </c>
      <c r="K25" s="88">
        <v>10548.46</v>
      </c>
      <c r="L25" s="64"/>
      <c r="M25" s="64"/>
      <c r="N25" s="103" t="s">
        <v>280</v>
      </c>
      <c r="O25" s="102">
        <v>3000</v>
      </c>
      <c r="P25" s="64"/>
      <c r="Q25" s="102"/>
      <c r="R25" s="103" t="s">
        <v>280</v>
      </c>
      <c r="S25" s="64"/>
      <c r="T25" s="64"/>
      <c r="U25" s="64"/>
      <c r="V25" s="64"/>
      <c r="W25" s="64"/>
      <c r="X25" s="103" t="s">
        <v>280</v>
      </c>
      <c r="Y25" s="88">
        <v>10548.46</v>
      </c>
      <c r="Z25" s="88"/>
      <c r="AA25" s="88">
        <v>10548.46</v>
      </c>
      <c r="AB25" s="64"/>
      <c r="AC25" s="88">
        <v>7155.2</v>
      </c>
      <c r="AD25" s="64"/>
      <c r="AE25" s="64"/>
      <c r="AF25" s="64"/>
      <c r="AG25" s="64"/>
      <c r="AH25" s="103" t="s">
        <v>280</v>
      </c>
      <c r="AI25" s="101" t="s">
        <v>280</v>
      </c>
      <c r="AJ25" s="64"/>
      <c r="AK25" s="88">
        <v>126333.15</v>
      </c>
    </row>
    <row r="26" spans="2:37" ht="12.75" customHeight="1">
      <c r="B26" s="5">
        <v>12</v>
      </c>
      <c r="C26" s="84" t="s">
        <v>363</v>
      </c>
      <c r="D26" s="84" t="s">
        <v>210</v>
      </c>
      <c r="E26" s="84" t="s">
        <v>211</v>
      </c>
      <c r="F26" s="84" t="s">
        <v>213</v>
      </c>
      <c r="G26" s="84" t="s">
        <v>214</v>
      </c>
      <c r="H26" s="111">
        <v>515.88</v>
      </c>
      <c r="I26" s="84" t="s">
        <v>266</v>
      </c>
      <c r="J26" s="84" t="s">
        <v>267</v>
      </c>
      <c r="K26" s="88">
        <v>13412.99</v>
      </c>
      <c r="L26" s="64"/>
      <c r="M26" s="64"/>
      <c r="N26" s="103" t="s">
        <v>280</v>
      </c>
      <c r="O26" s="102">
        <v>3000</v>
      </c>
      <c r="P26" s="64"/>
      <c r="Q26" s="102"/>
      <c r="R26" s="104">
        <v>1000</v>
      </c>
      <c r="S26" s="64"/>
      <c r="T26" s="64"/>
      <c r="U26" s="64"/>
      <c r="V26" s="64"/>
      <c r="W26" s="64"/>
      <c r="X26" s="88">
        <v>2860.21</v>
      </c>
      <c r="Y26" s="88">
        <v>13412.99</v>
      </c>
      <c r="Z26" s="88"/>
      <c r="AA26" s="88">
        <v>13413</v>
      </c>
      <c r="AB26" s="64"/>
      <c r="AC26" s="88">
        <v>8182</v>
      </c>
      <c r="AD26" s="64"/>
      <c r="AE26" s="64"/>
      <c r="AF26" s="64"/>
      <c r="AG26" s="64"/>
      <c r="AH26" s="103" t="s">
        <v>280</v>
      </c>
      <c r="AI26" s="101" t="s">
        <v>280</v>
      </c>
      <c r="AJ26" s="64"/>
      <c r="AK26" s="88">
        <v>151095.88</v>
      </c>
    </row>
    <row r="27" spans="2:37" ht="12.75" customHeight="1">
      <c r="B27" s="5">
        <v>13</v>
      </c>
      <c r="C27" s="84" t="s">
        <v>364</v>
      </c>
      <c r="D27" s="84" t="s">
        <v>223</v>
      </c>
      <c r="E27" s="84" t="s">
        <v>224</v>
      </c>
      <c r="F27" s="84" t="s">
        <v>213</v>
      </c>
      <c r="G27" s="84" t="s">
        <v>214</v>
      </c>
      <c r="H27" s="111">
        <v>438.9</v>
      </c>
      <c r="I27" s="84" t="s">
        <v>266</v>
      </c>
      <c r="J27" s="84" t="s">
        <v>267</v>
      </c>
      <c r="K27" s="88">
        <v>11411.4</v>
      </c>
      <c r="L27" s="64"/>
      <c r="M27" s="64"/>
      <c r="N27" s="103" t="s">
        <v>280</v>
      </c>
      <c r="O27" s="102">
        <v>3000</v>
      </c>
      <c r="P27" s="64"/>
      <c r="Q27" s="102"/>
      <c r="R27" s="103" t="s">
        <v>280</v>
      </c>
      <c r="S27" s="64"/>
      <c r="T27" s="64"/>
      <c r="U27" s="64"/>
      <c r="V27" s="64"/>
      <c r="W27" s="64"/>
      <c r="X27" s="88">
        <v>70.39</v>
      </c>
      <c r="Y27" s="88">
        <v>11411.4</v>
      </c>
      <c r="Z27" s="88"/>
      <c r="AA27" s="88">
        <v>2852.85</v>
      </c>
      <c r="AB27" s="64"/>
      <c r="AC27" s="88">
        <v>6356.05</v>
      </c>
      <c r="AD27" s="64"/>
      <c r="AE27" s="64"/>
      <c r="AF27" s="64"/>
      <c r="AG27" s="64"/>
      <c r="AH27" s="103" t="s">
        <v>280</v>
      </c>
      <c r="AI27" s="101" t="s">
        <v>280</v>
      </c>
      <c r="AJ27" s="64"/>
      <c r="AK27" s="88">
        <v>128366.77</v>
      </c>
    </row>
    <row r="28" spans="2:37" ht="12.75" customHeight="1">
      <c r="B28" s="5">
        <v>14</v>
      </c>
      <c r="C28" s="84" t="s">
        <v>365</v>
      </c>
      <c r="D28" s="84" t="s">
        <v>220</v>
      </c>
      <c r="E28" s="84" t="s">
        <v>221</v>
      </c>
      <c r="F28" s="84" t="s">
        <v>213</v>
      </c>
      <c r="G28" s="84" t="s">
        <v>214</v>
      </c>
      <c r="H28" s="111">
        <v>433.19</v>
      </c>
      <c r="I28" s="84" t="s">
        <v>266</v>
      </c>
      <c r="J28" s="84" t="s">
        <v>267</v>
      </c>
      <c r="K28" s="88">
        <v>11262.97</v>
      </c>
      <c r="L28" s="64"/>
      <c r="M28" s="64"/>
      <c r="N28" s="103" t="s">
        <v>280</v>
      </c>
      <c r="O28" s="102">
        <v>3000</v>
      </c>
      <c r="P28" s="64"/>
      <c r="Q28" s="102"/>
      <c r="R28" s="103" t="s">
        <v>280</v>
      </c>
      <c r="S28" s="64"/>
      <c r="T28" s="64"/>
      <c r="U28" s="64"/>
      <c r="V28" s="64"/>
      <c r="W28" s="64"/>
      <c r="X28" s="103" t="s">
        <v>280</v>
      </c>
      <c r="Y28" s="88">
        <v>11262.97</v>
      </c>
      <c r="Z28" s="88"/>
      <c r="AA28" s="88">
        <v>11262.98</v>
      </c>
      <c r="AB28" s="64"/>
      <c r="AC28" s="88">
        <v>7546</v>
      </c>
      <c r="AD28" s="64"/>
      <c r="AE28" s="64"/>
      <c r="AF28" s="64"/>
      <c r="AG28" s="64"/>
      <c r="AH28" s="103" t="s">
        <v>280</v>
      </c>
      <c r="AI28" s="101" t="s">
        <v>280</v>
      </c>
      <c r="AJ28" s="64"/>
      <c r="AK28" s="88">
        <v>137772.89000000001</v>
      </c>
    </row>
    <row r="29" spans="2:37" ht="12.75" customHeight="1">
      <c r="B29" s="5">
        <v>15</v>
      </c>
      <c r="C29" s="84" t="s">
        <v>366</v>
      </c>
      <c r="D29" s="84" t="s">
        <v>225</v>
      </c>
      <c r="E29" s="84" t="s">
        <v>219</v>
      </c>
      <c r="F29" s="84" t="s">
        <v>213</v>
      </c>
      <c r="G29" s="84" t="s">
        <v>212</v>
      </c>
      <c r="H29" s="111">
        <v>380</v>
      </c>
      <c r="I29" s="84" t="s">
        <v>266</v>
      </c>
      <c r="J29" s="84" t="s">
        <v>267</v>
      </c>
      <c r="K29" s="88">
        <v>9880</v>
      </c>
      <c r="L29" s="64"/>
      <c r="M29" s="64"/>
      <c r="N29" s="103" t="s">
        <v>280</v>
      </c>
      <c r="O29" s="102">
        <v>3000</v>
      </c>
      <c r="P29" s="64"/>
      <c r="Q29" s="102"/>
      <c r="R29" s="103" t="s">
        <v>280</v>
      </c>
      <c r="S29" s="64"/>
      <c r="T29" s="64"/>
      <c r="U29" s="64"/>
      <c r="V29" s="64"/>
      <c r="W29" s="64"/>
      <c r="X29" s="103" t="s">
        <v>280</v>
      </c>
      <c r="Y29" s="104">
        <v>2470</v>
      </c>
      <c r="Z29" s="88"/>
      <c r="AA29" s="88">
        <v>2000</v>
      </c>
      <c r="AB29" s="64"/>
      <c r="AC29" s="88">
        <v>1627.4</v>
      </c>
      <c r="AD29" s="64"/>
      <c r="AE29" s="64"/>
      <c r="AF29" s="64"/>
      <c r="AG29" s="64"/>
      <c r="AH29" s="103" t="s">
        <v>280</v>
      </c>
      <c r="AI29" s="101" t="s">
        <v>280</v>
      </c>
      <c r="AJ29" s="64"/>
      <c r="AK29" s="88">
        <v>28203.65</v>
      </c>
    </row>
    <row r="30" spans="2:37" ht="12.75" customHeight="1">
      <c r="B30" s="5">
        <v>16</v>
      </c>
      <c r="C30" s="84" t="s">
        <v>367</v>
      </c>
      <c r="D30" s="84" t="s">
        <v>226</v>
      </c>
      <c r="E30" s="84" t="s">
        <v>217</v>
      </c>
      <c r="F30" s="84" t="s">
        <v>213</v>
      </c>
      <c r="G30" s="84" t="s">
        <v>214</v>
      </c>
      <c r="H30" s="111">
        <v>460.84</v>
      </c>
      <c r="I30" s="84" t="s">
        <v>266</v>
      </c>
      <c r="J30" s="84" t="s">
        <v>267</v>
      </c>
      <c r="K30" s="88">
        <v>11981.97</v>
      </c>
      <c r="L30" s="64"/>
      <c r="M30" s="64"/>
      <c r="N30" s="103" t="s">
        <v>280</v>
      </c>
      <c r="O30" s="102">
        <v>3000</v>
      </c>
      <c r="P30" s="64"/>
      <c r="Q30" s="102"/>
      <c r="R30" s="103" t="s">
        <v>280</v>
      </c>
      <c r="S30" s="64"/>
      <c r="T30" s="64"/>
      <c r="U30" s="64"/>
      <c r="V30" s="64"/>
      <c r="W30" s="64"/>
      <c r="X30" s="103" t="s">
        <v>280</v>
      </c>
      <c r="Y30" s="88">
        <v>11981.97</v>
      </c>
      <c r="Z30" s="88"/>
      <c r="AA30" s="88">
        <v>2995.5</v>
      </c>
      <c r="AB30" s="64"/>
      <c r="AC30" s="88">
        <v>6491.25</v>
      </c>
      <c r="AD30" s="64"/>
      <c r="AE30" s="64"/>
      <c r="AF30" s="64"/>
      <c r="AG30" s="64"/>
      <c r="AH30" s="103" t="s">
        <v>280</v>
      </c>
      <c r="AI30" s="101" t="s">
        <v>280</v>
      </c>
      <c r="AJ30" s="64"/>
      <c r="AK30" s="88">
        <v>118850.41</v>
      </c>
    </row>
    <row r="31" spans="2:37" ht="12.75" customHeight="1">
      <c r="B31" s="5">
        <v>17</v>
      </c>
      <c r="C31" s="84" t="s">
        <v>368</v>
      </c>
      <c r="D31" s="84" t="s">
        <v>215</v>
      </c>
      <c r="E31" s="84" t="s">
        <v>211</v>
      </c>
      <c r="F31" s="84" t="s">
        <v>213</v>
      </c>
      <c r="G31" s="84" t="s">
        <v>214</v>
      </c>
      <c r="H31" s="111">
        <v>491.23</v>
      </c>
      <c r="I31" s="84" t="s">
        <v>266</v>
      </c>
      <c r="J31" s="84" t="s">
        <v>267</v>
      </c>
      <c r="K31" s="88">
        <v>12772.17</v>
      </c>
      <c r="L31" s="64"/>
      <c r="M31" s="64"/>
      <c r="N31" s="103" t="s">
        <v>280</v>
      </c>
      <c r="O31" s="102">
        <v>3000</v>
      </c>
      <c r="P31" s="64"/>
      <c r="Q31" s="102"/>
      <c r="R31" s="104">
        <v>1000</v>
      </c>
      <c r="S31" s="64"/>
      <c r="T31" s="64"/>
      <c r="U31" s="64"/>
      <c r="V31" s="64"/>
      <c r="W31" s="64"/>
      <c r="X31" s="88">
        <v>4653.5200000000004</v>
      </c>
      <c r="Y31" s="88">
        <v>12772.17</v>
      </c>
      <c r="Z31" s="88"/>
      <c r="AA31" s="88">
        <v>12772.18</v>
      </c>
      <c r="AB31" s="64"/>
      <c r="AC31" s="88">
        <v>7806.05</v>
      </c>
      <c r="AD31" s="64"/>
      <c r="AE31" s="64"/>
      <c r="AF31" s="64"/>
      <c r="AG31" s="64"/>
      <c r="AH31" s="103" t="s">
        <v>280</v>
      </c>
      <c r="AI31" s="101" t="s">
        <v>280</v>
      </c>
      <c r="AJ31" s="64"/>
      <c r="AK31" s="88">
        <v>134988.07</v>
      </c>
    </row>
    <row r="32" spans="2:37" ht="12.75" customHeight="1">
      <c r="B32" s="5">
        <v>18</v>
      </c>
      <c r="C32" s="84" t="s">
        <v>369</v>
      </c>
      <c r="D32" s="84" t="s">
        <v>227</v>
      </c>
      <c r="E32" s="84" t="s">
        <v>228</v>
      </c>
      <c r="F32" s="84" t="s">
        <v>213</v>
      </c>
      <c r="G32" s="84" t="s">
        <v>212</v>
      </c>
      <c r="H32" s="111">
        <v>380</v>
      </c>
      <c r="I32" s="84" t="s">
        <v>266</v>
      </c>
      <c r="J32" s="84" t="s">
        <v>267</v>
      </c>
      <c r="K32" s="88">
        <v>12581.07</v>
      </c>
      <c r="L32" s="64"/>
      <c r="M32" s="64"/>
      <c r="N32" s="103" t="s">
        <v>280</v>
      </c>
      <c r="O32" s="102">
        <v>3000</v>
      </c>
      <c r="P32" s="64"/>
      <c r="Q32" s="102"/>
      <c r="R32" s="104">
        <v>1000</v>
      </c>
      <c r="S32" s="64"/>
      <c r="T32" s="64"/>
      <c r="U32" s="64"/>
      <c r="V32" s="64"/>
      <c r="W32" s="64"/>
      <c r="X32" s="103" t="s">
        <v>280</v>
      </c>
      <c r="Y32" s="104">
        <v>4670.2</v>
      </c>
      <c r="Z32" s="88"/>
      <c r="AA32" s="88">
        <v>2000</v>
      </c>
      <c r="AB32" s="64"/>
      <c r="AC32" s="88">
        <v>2818.6</v>
      </c>
      <c r="AD32" s="64"/>
      <c r="AE32" s="64"/>
      <c r="AF32" s="64"/>
      <c r="AG32" s="64"/>
      <c r="AH32" s="103" t="s">
        <v>280</v>
      </c>
      <c r="AI32" s="101" t="s">
        <v>280</v>
      </c>
      <c r="AJ32" s="64"/>
      <c r="AK32" s="88">
        <v>51662</v>
      </c>
    </row>
    <row r="33" spans="2:37" ht="12.75" customHeight="1">
      <c r="B33" s="5">
        <v>19</v>
      </c>
      <c r="C33" s="84" t="s">
        <v>370</v>
      </c>
      <c r="D33" s="84" t="s">
        <v>210</v>
      </c>
      <c r="E33" s="84" t="s">
        <v>211</v>
      </c>
      <c r="F33" s="84" t="s">
        <v>213</v>
      </c>
      <c r="G33" s="84" t="s">
        <v>214</v>
      </c>
      <c r="H33" s="111">
        <v>483.88</v>
      </c>
      <c r="I33" s="84" t="s">
        <v>266</v>
      </c>
      <c r="J33" s="84" t="s">
        <v>267</v>
      </c>
      <c r="K33" s="88">
        <v>12581.07</v>
      </c>
      <c r="L33" s="64"/>
      <c r="M33" s="64"/>
      <c r="N33" s="103" t="s">
        <v>280</v>
      </c>
      <c r="O33" s="102">
        <v>3000</v>
      </c>
      <c r="P33" s="64"/>
      <c r="Q33" s="102"/>
      <c r="R33" s="104">
        <v>1000</v>
      </c>
      <c r="S33" s="64"/>
      <c r="T33" s="64"/>
      <c r="U33" s="64"/>
      <c r="V33" s="64"/>
      <c r="W33" s="64"/>
      <c r="X33" s="88">
        <v>1553.28</v>
      </c>
      <c r="Y33" s="88">
        <v>12581.07</v>
      </c>
      <c r="Z33" s="88"/>
      <c r="AA33" s="88">
        <v>3145.27</v>
      </c>
      <c r="AB33" s="64"/>
      <c r="AC33" s="88">
        <v>6714.6</v>
      </c>
      <c r="AD33" s="64"/>
      <c r="AE33" s="64"/>
      <c r="AF33" s="64"/>
      <c r="AG33" s="64"/>
      <c r="AH33" s="103" t="s">
        <v>280</v>
      </c>
      <c r="AI33" s="101" t="s">
        <v>280</v>
      </c>
      <c r="AJ33" s="64"/>
      <c r="AK33" s="88">
        <v>125393.21</v>
      </c>
    </row>
    <row r="34" spans="2:37" ht="12.75" customHeight="1">
      <c r="B34" s="5">
        <v>20</v>
      </c>
      <c r="C34" s="84" t="s">
        <v>371</v>
      </c>
      <c r="D34" s="84" t="s">
        <v>220</v>
      </c>
      <c r="E34" s="84" t="s">
        <v>221</v>
      </c>
      <c r="F34" s="84" t="s">
        <v>213</v>
      </c>
      <c r="G34" s="84" t="s">
        <v>214</v>
      </c>
      <c r="H34" s="111">
        <v>411.47</v>
      </c>
      <c r="I34" s="84" t="s">
        <v>266</v>
      </c>
      <c r="J34" s="84" t="s">
        <v>267</v>
      </c>
      <c r="K34" s="88">
        <v>10698.39</v>
      </c>
      <c r="L34" s="64"/>
      <c r="M34" s="64"/>
      <c r="N34" s="103" t="s">
        <v>280</v>
      </c>
      <c r="O34" s="102">
        <v>3000</v>
      </c>
      <c r="P34" s="64"/>
      <c r="Q34" s="102"/>
      <c r="R34" s="103" t="s">
        <v>280</v>
      </c>
      <c r="S34" s="64"/>
      <c r="T34" s="64"/>
      <c r="U34" s="64"/>
      <c r="V34" s="64"/>
      <c r="W34" s="64"/>
      <c r="X34" s="88">
        <v>7105.63</v>
      </c>
      <c r="Y34" s="88">
        <v>10698.39</v>
      </c>
      <c r="Z34" s="88"/>
      <c r="AA34" s="88">
        <v>10698.4</v>
      </c>
      <c r="AB34" s="64"/>
      <c r="AC34" s="88">
        <v>7205.2</v>
      </c>
      <c r="AD34" s="64"/>
      <c r="AE34" s="64"/>
      <c r="AF34" s="64"/>
      <c r="AG34" s="64"/>
      <c r="AH34" s="103" t="s">
        <v>280</v>
      </c>
      <c r="AI34" s="101" t="s">
        <v>280</v>
      </c>
      <c r="AJ34" s="64"/>
      <c r="AK34" s="88">
        <v>133106.97</v>
      </c>
    </row>
    <row r="35" spans="2:37" ht="12.75" customHeight="1">
      <c r="B35" s="5">
        <v>21</v>
      </c>
      <c r="C35" s="84" t="s">
        <v>372</v>
      </c>
      <c r="D35" s="84" t="s">
        <v>229</v>
      </c>
      <c r="E35" s="84" t="s">
        <v>230</v>
      </c>
      <c r="F35" s="84" t="s">
        <v>213</v>
      </c>
      <c r="G35" s="84" t="s">
        <v>214</v>
      </c>
      <c r="H35" s="111">
        <v>572</v>
      </c>
      <c r="I35" s="84" t="s">
        <v>266</v>
      </c>
      <c r="J35" s="84" t="s">
        <v>267</v>
      </c>
      <c r="K35" s="88">
        <v>14872.24</v>
      </c>
      <c r="L35" s="64"/>
      <c r="M35" s="64"/>
      <c r="N35" s="103" t="s">
        <v>280</v>
      </c>
      <c r="O35" s="102">
        <v>3000</v>
      </c>
      <c r="P35" s="64"/>
      <c r="Q35" s="102"/>
      <c r="R35" s="103" t="s">
        <v>280</v>
      </c>
      <c r="S35" s="64"/>
      <c r="T35" s="64"/>
      <c r="U35" s="64"/>
      <c r="V35" s="64"/>
      <c r="W35" s="64"/>
      <c r="X35" s="88">
        <v>4456.16</v>
      </c>
      <c r="Y35" s="88">
        <v>14872.24</v>
      </c>
      <c r="Z35" s="88"/>
      <c r="AA35" s="88">
        <v>7436.12</v>
      </c>
      <c r="AB35" s="64"/>
      <c r="AC35" s="88">
        <v>9767.2000000000007</v>
      </c>
      <c r="AD35" s="64"/>
      <c r="AE35" s="64"/>
      <c r="AF35" s="64"/>
      <c r="AG35" s="64"/>
      <c r="AH35" s="103" t="s">
        <v>280</v>
      </c>
      <c r="AI35" s="101" t="s">
        <v>280</v>
      </c>
      <c r="AJ35" s="64"/>
      <c r="AK35" s="88">
        <v>177921.43</v>
      </c>
    </row>
    <row r="36" spans="2:37" ht="12.75" customHeight="1">
      <c r="B36" s="5">
        <v>22</v>
      </c>
      <c r="C36" s="84" t="s">
        <v>373</v>
      </c>
      <c r="D36" s="84" t="s">
        <v>220</v>
      </c>
      <c r="E36" s="84" t="s">
        <v>221</v>
      </c>
      <c r="F36" s="84" t="s">
        <v>213</v>
      </c>
      <c r="G36" s="84" t="s">
        <v>214</v>
      </c>
      <c r="H36" s="111">
        <v>438.33</v>
      </c>
      <c r="I36" s="84" t="s">
        <v>266</v>
      </c>
      <c r="J36" s="84" t="s">
        <v>267</v>
      </c>
      <c r="K36" s="88">
        <v>11396.68</v>
      </c>
      <c r="L36" s="64"/>
      <c r="M36" s="64"/>
      <c r="N36" s="103" t="s">
        <v>280</v>
      </c>
      <c r="O36" s="102">
        <v>3000</v>
      </c>
      <c r="P36" s="64"/>
      <c r="Q36" s="102"/>
      <c r="R36" s="103" t="s">
        <v>280</v>
      </c>
      <c r="S36" s="64"/>
      <c r="T36" s="64"/>
      <c r="U36" s="64"/>
      <c r="V36" s="64"/>
      <c r="W36" s="64"/>
      <c r="X36" s="103" t="s">
        <v>280</v>
      </c>
      <c r="Y36" s="88">
        <v>11396.68</v>
      </c>
      <c r="Z36" s="88"/>
      <c r="AA36" s="88">
        <v>11396.68</v>
      </c>
      <c r="AB36" s="64"/>
      <c r="AC36" s="88">
        <v>7580.65</v>
      </c>
      <c r="AD36" s="64"/>
      <c r="AE36" s="64"/>
      <c r="AF36" s="64"/>
      <c r="AG36" s="64"/>
      <c r="AH36" s="103" t="s">
        <v>280</v>
      </c>
      <c r="AI36" s="101" t="s">
        <v>280</v>
      </c>
      <c r="AJ36" s="64"/>
      <c r="AK36" s="88">
        <v>135195.16</v>
      </c>
    </row>
    <row r="37" spans="2:37" ht="12.75" customHeight="1">
      <c r="B37" s="5">
        <v>23</v>
      </c>
      <c r="C37" s="84" t="s">
        <v>374</v>
      </c>
      <c r="D37" s="84" t="s">
        <v>210</v>
      </c>
      <c r="E37" s="84" t="s">
        <v>211</v>
      </c>
      <c r="F37" s="84" t="s">
        <v>213</v>
      </c>
      <c r="G37" s="84" t="s">
        <v>214</v>
      </c>
      <c r="H37" s="111">
        <v>486.26</v>
      </c>
      <c r="I37" s="84" t="s">
        <v>266</v>
      </c>
      <c r="J37" s="84" t="s">
        <v>267</v>
      </c>
      <c r="K37" s="88">
        <v>12642.89</v>
      </c>
      <c r="L37" s="64"/>
      <c r="M37" s="64"/>
      <c r="N37" s="103" t="s">
        <v>280</v>
      </c>
      <c r="O37" s="102">
        <v>3000</v>
      </c>
      <c r="P37" s="64"/>
      <c r="Q37" s="102"/>
      <c r="R37" s="104">
        <v>1000</v>
      </c>
      <c r="S37" s="64"/>
      <c r="T37" s="64"/>
      <c r="U37" s="64"/>
      <c r="V37" s="64"/>
      <c r="W37" s="64"/>
      <c r="X37" s="104">
        <v>16.14</v>
      </c>
      <c r="Y37" s="88">
        <v>12642.89</v>
      </c>
      <c r="Z37" s="88"/>
      <c r="AA37" s="88">
        <v>6321.45</v>
      </c>
      <c r="AB37" s="64"/>
      <c r="AC37" s="88">
        <v>7668.8</v>
      </c>
      <c r="AD37" s="64"/>
      <c r="AE37" s="64"/>
      <c r="AF37" s="64"/>
      <c r="AG37" s="64"/>
      <c r="AH37" s="103" t="s">
        <v>280</v>
      </c>
      <c r="AI37" s="101" t="s">
        <v>280</v>
      </c>
      <c r="AJ37" s="64"/>
      <c r="AK37" s="88">
        <v>133623.06</v>
      </c>
    </row>
    <row r="38" spans="2:37" ht="12.75" customHeight="1">
      <c r="B38" s="5">
        <v>24</v>
      </c>
      <c r="C38" s="84" t="s">
        <v>375</v>
      </c>
      <c r="D38" s="84" t="s">
        <v>231</v>
      </c>
      <c r="E38" s="84" t="s">
        <v>217</v>
      </c>
      <c r="F38" s="84" t="s">
        <v>213</v>
      </c>
      <c r="G38" s="84" t="s">
        <v>214</v>
      </c>
      <c r="H38" s="111">
        <v>503.51</v>
      </c>
      <c r="I38" s="84" t="s">
        <v>266</v>
      </c>
      <c r="J38" s="84" t="s">
        <v>267</v>
      </c>
      <c r="K38" s="88">
        <v>13091.3</v>
      </c>
      <c r="L38" s="64"/>
      <c r="M38" s="64"/>
      <c r="N38" s="103" t="s">
        <v>280</v>
      </c>
      <c r="O38" s="102">
        <v>3000</v>
      </c>
      <c r="P38" s="64"/>
      <c r="Q38" s="102"/>
      <c r="R38" s="104">
        <v>1000</v>
      </c>
      <c r="S38" s="64"/>
      <c r="T38" s="64"/>
      <c r="U38" s="64"/>
      <c r="V38" s="64"/>
      <c r="W38" s="64"/>
      <c r="X38" s="103" t="s">
        <v>280</v>
      </c>
      <c r="Y38" s="88">
        <v>13091.3</v>
      </c>
      <c r="Z38" s="88"/>
      <c r="AA38" s="88">
        <v>13091.3</v>
      </c>
      <c r="AB38" s="64"/>
      <c r="AC38" s="88">
        <v>8181.6</v>
      </c>
      <c r="AD38" s="64"/>
      <c r="AE38" s="64"/>
      <c r="AF38" s="64"/>
      <c r="AG38" s="64"/>
      <c r="AH38" s="103" t="s">
        <v>280</v>
      </c>
      <c r="AI38" s="101" t="s">
        <v>280</v>
      </c>
      <c r="AJ38" s="64"/>
      <c r="AK38" s="88">
        <v>149395.51999999999</v>
      </c>
    </row>
    <row r="39" spans="2:37" ht="12.75" customHeight="1">
      <c r="B39" s="5">
        <v>25</v>
      </c>
      <c r="C39" s="84" t="s">
        <v>376</v>
      </c>
      <c r="D39" s="84" t="s">
        <v>210</v>
      </c>
      <c r="E39" s="84" t="s">
        <v>211</v>
      </c>
      <c r="F39" s="84" t="s">
        <v>213</v>
      </c>
      <c r="G39" s="84" t="s">
        <v>214</v>
      </c>
      <c r="H39" s="111">
        <v>483.88</v>
      </c>
      <c r="I39" s="84" t="s">
        <v>266</v>
      </c>
      <c r="J39" s="84" t="s">
        <v>267</v>
      </c>
      <c r="K39" s="88">
        <v>12581.07</v>
      </c>
      <c r="L39" s="64"/>
      <c r="M39" s="64"/>
      <c r="N39" s="103" t="s">
        <v>280</v>
      </c>
      <c r="O39" s="102">
        <v>3000</v>
      </c>
      <c r="P39" s="64"/>
      <c r="Q39" s="102"/>
      <c r="R39" s="104">
        <v>1000</v>
      </c>
      <c r="S39" s="64"/>
      <c r="T39" s="64"/>
      <c r="U39" s="64"/>
      <c r="V39" s="64"/>
      <c r="W39" s="64"/>
      <c r="X39" s="88">
        <v>5526.95</v>
      </c>
      <c r="Y39" s="88">
        <v>12581.07</v>
      </c>
      <c r="Z39" s="88"/>
      <c r="AA39" s="88">
        <v>3145.27</v>
      </c>
      <c r="AB39" s="64"/>
      <c r="AC39" s="88">
        <v>6138.8</v>
      </c>
      <c r="AD39" s="64"/>
      <c r="AE39" s="64"/>
      <c r="AF39" s="64"/>
      <c r="AG39" s="64"/>
      <c r="AH39" s="103" t="s">
        <v>280</v>
      </c>
      <c r="AI39" s="101" t="s">
        <v>280</v>
      </c>
      <c r="AJ39" s="64"/>
      <c r="AK39" s="88">
        <v>109701.26</v>
      </c>
    </row>
    <row r="40" spans="2:37" ht="12.75" customHeight="1">
      <c r="B40" s="5">
        <v>26</v>
      </c>
      <c r="C40" s="84" t="s">
        <v>377</v>
      </c>
      <c r="D40" s="84" t="s">
        <v>232</v>
      </c>
      <c r="E40" s="84" t="s">
        <v>230</v>
      </c>
      <c r="F40" s="84" t="s">
        <v>213</v>
      </c>
      <c r="G40" s="84" t="s">
        <v>214</v>
      </c>
      <c r="H40" s="111">
        <v>655.52</v>
      </c>
      <c r="I40" s="84" t="s">
        <v>266</v>
      </c>
      <c r="J40" s="84" t="s">
        <v>267</v>
      </c>
      <c r="K40" s="88">
        <v>17043.53</v>
      </c>
      <c r="L40" s="64"/>
      <c r="M40" s="64"/>
      <c r="N40" s="103" t="s">
        <v>280</v>
      </c>
      <c r="O40" s="102">
        <v>3000</v>
      </c>
      <c r="P40" s="64"/>
      <c r="Q40" s="102"/>
      <c r="R40" s="104">
        <v>1000</v>
      </c>
      <c r="S40" s="64"/>
      <c r="T40" s="64"/>
      <c r="U40" s="64"/>
      <c r="V40" s="64"/>
      <c r="W40" s="64"/>
      <c r="X40" s="103" t="s">
        <v>280</v>
      </c>
      <c r="Y40" s="88">
        <v>17043.53</v>
      </c>
      <c r="Z40" s="88"/>
      <c r="AA40" s="88">
        <v>17043.54</v>
      </c>
      <c r="AB40" s="64"/>
      <c r="AC40" s="88">
        <v>10625.6</v>
      </c>
      <c r="AD40" s="64"/>
      <c r="AE40" s="64"/>
      <c r="AF40" s="64"/>
      <c r="AG40" s="64"/>
      <c r="AH40" s="103" t="s">
        <v>280</v>
      </c>
      <c r="AI40" s="101" t="s">
        <v>280</v>
      </c>
      <c r="AJ40" s="64"/>
      <c r="AK40" s="88">
        <v>208467.91</v>
      </c>
    </row>
    <row r="41" spans="2:37" ht="12.75" customHeight="1">
      <c r="B41" s="5">
        <v>27</v>
      </c>
      <c r="C41" s="84" t="s">
        <v>378</v>
      </c>
      <c r="D41" s="84" t="s">
        <v>227</v>
      </c>
      <c r="E41" s="84" t="s">
        <v>228</v>
      </c>
      <c r="F41" s="84" t="s">
        <v>213</v>
      </c>
      <c r="G41" s="84" t="s">
        <v>214</v>
      </c>
      <c r="H41" s="111">
        <v>483.88</v>
      </c>
      <c r="I41" s="84" t="s">
        <v>266</v>
      </c>
      <c r="J41" s="84" t="s">
        <v>267</v>
      </c>
      <c r="K41" s="88">
        <v>12581.07</v>
      </c>
      <c r="L41" s="64"/>
      <c r="M41" s="64"/>
      <c r="N41" s="103" t="s">
        <v>280</v>
      </c>
      <c r="O41" s="102">
        <v>3000</v>
      </c>
      <c r="P41" s="64"/>
      <c r="Q41" s="102"/>
      <c r="R41" s="104">
        <v>1000</v>
      </c>
      <c r="S41" s="64"/>
      <c r="T41" s="64"/>
      <c r="U41" s="64"/>
      <c r="V41" s="64"/>
      <c r="W41" s="64"/>
      <c r="X41" s="103" t="s">
        <v>280</v>
      </c>
      <c r="Y41" s="88">
        <v>12581.07</v>
      </c>
      <c r="Z41" s="88"/>
      <c r="AA41" s="88">
        <v>3145.27</v>
      </c>
      <c r="AB41" s="64"/>
      <c r="AC41" s="88">
        <v>6950.8</v>
      </c>
      <c r="AD41" s="64"/>
      <c r="AE41" s="64"/>
      <c r="AF41" s="64"/>
      <c r="AG41" s="64"/>
      <c r="AH41" s="103" t="s">
        <v>280</v>
      </c>
      <c r="AI41" s="101" t="s">
        <v>280</v>
      </c>
      <c r="AJ41" s="64"/>
      <c r="AK41" s="88">
        <v>127742.89</v>
      </c>
    </row>
    <row r="42" spans="2:37" ht="12.75" customHeight="1">
      <c r="B42" s="5">
        <v>28</v>
      </c>
      <c r="C42" s="84" t="s">
        <v>379</v>
      </c>
      <c r="D42" s="84" t="s">
        <v>220</v>
      </c>
      <c r="E42" s="84" t="s">
        <v>221</v>
      </c>
      <c r="F42" s="84" t="s">
        <v>213</v>
      </c>
      <c r="G42" s="84" t="s">
        <v>214</v>
      </c>
      <c r="H42" s="111">
        <v>369</v>
      </c>
      <c r="I42" s="84" t="s">
        <v>266</v>
      </c>
      <c r="J42" s="84" t="s">
        <v>267</v>
      </c>
      <c r="K42" s="88">
        <v>9594</v>
      </c>
      <c r="L42" s="64"/>
      <c r="M42" s="64"/>
      <c r="N42" s="103" t="s">
        <v>280</v>
      </c>
      <c r="O42" s="102">
        <v>3000</v>
      </c>
      <c r="P42" s="64"/>
      <c r="Q42" s="102"/>
      <c r="R42" s="103" t="s">
        <v>280</v>
      </c>
      <c r="S42" s="64"/>
      <c r="T42" s="64"/>
      <c r="U42" s="64"/>
      <c r="V42" s="64"/>
      <c r="W42" s="64"/>
      <c r="X42" s="88">
        <v>33.869999999999997</v>
      </c>
      <c r="Y42" s="88">
        <v>9594</v>
      </c>
      <c r="Z42" s="88"/>
      <c r="AA42" s="88">
        <v>2398.5</v>
      </c>
      <c r="AB42" s="64"/>
      <c r="AC42" s="88">
        <v>3908.1</v>
      </c>
      <c r="AD42" s="64"/>
      <c r="AE42" s="64"/>
      <c r="AF42" s="64"/>
      <c r="AG42" s="64"/>
      <c r="AH42" s="103" t="s">
        <v>280</v>
      </c>
      <c r="AI42" s="101" t="s">
        <v>280</v>
      </c>
      <c r="AJ42" s="64"/>
      <c r="AK42" s="88">
        <v>73684.960000000006</v>
      </c>
    </row>
    <row r="43" spans="2:37" ht="12.75" customHeight="1">
      <c r="B43" s="5">
        <v>29</v>
      </c>
      <c r="C43" s="84" t="s">
        <v>380</v>
      </c>
      <c r="D43" s="84" t="s">
        <v>233</v>
      </c>
      <c r="E43" s="84" t="s">
        <v>217</v>
      </c>
      <c r="F43" s="84" t="s">
        <v>213</v>
      </c>
      <c r="G43" s="84" t="s">
        <v>214</v>
      </c>
      <c r="H43" s="111">
        <v>441.27</v>
      </c>
      <c r="I43" s="84" t="s">
        <v>266</v>
      </c>
      <c r="J43" s="84" t="s">
        <v>267</v>
      </c>
      <c r="K43" s="88">
        <v>11473.16</v>
      </c>
      <c r="L43" s="64"/>
      <c r="M43" s="64"/>
      <c r="N43" s="103" t="s">
        <v>280</v>
      </c>
      <c r="O43" s="102">
        <v>3000</v>
      </c>
      <c r="P43" s="64"/>
      <c r="Q43" s="102"/>
      <c r="R43" s="103" t="s">
        <v>280</v>
      </c>
      <c r="S43" s="64"/>
      <c r="T43" s="64"/>
      <c r="U43" s="64"/>
      <c r="V43" s="64"/>
      <c r="W43" s="64"/>
      <c r="X43" s="88">
        <v>780.9</v>
      </c>
      <c r="Y43" s="88">
        <v>11473.16</v>
      </c>
      <c r="Z43" s="88"/>
      <c r="AA43" s="88">
        <v>5736.58</v>
      </c>
      <c r="AB43" s="64"/>
      <c r="AC43" s="88">
        <v>7473.2</v>
      </c>
      <c r="AD43" s="64"/>
      <c r="AE43" s="64"/>
      <c r="AF43" s="64"/>
      <c r="AG43" s="64"/>
      <c r="AH43" s="103" t="s">
        <v>280</v>
      </c>
      <c r="AI43" s="101" t="s">
        <v>280</v>
      </c>
      <c r="AJ43" s="64"/>
      <c r="AK43" s="88">
        <v>136062.82999999999</v>
      </c>
    </row>
    <row r="44" spans="2:37" ht="12.75" customHeight="1">
      <c r="B44" s="5">
        <v>30</v>
      </c>
      <c r="C44" s="84" t="s">
        <v>381</v>
      </c>
      <c r="D44" s="84" t="s">
        <v>234</v>
      </c>
      <c r="E44" s="84" t="s">
        <v>211</v>
      </c>
      <c r="F44" s="84" t="s">
        <v>213</v>
      </c>
      <c r="G44" s="84" t="s">
        <v>214</v>
      </c>
      <c r="H44" s="111">
        <v>562.98</v>
      </c>
      <c r="I44" s="84" t="s">
        <v>266</v>
      </c>
      <c r="J44" s="84" t="s">
        <v>267</v>
      </c>
      <c r="K44" s="88">
        <v>14637.62</v>
      </c>
      <c r="L44" s="64"/>
      <c r="M44" s="64"/>
      <c r="N44" s="103" t="s">
        <v>280</v>
      </c>
      <c r="O44" s="102">
        <v>3000</v>
      </c>
      <c r="P44" s="64"/>
      <c r="Q44" s="102"/>
      <c r="R44" s="104">
        <v>1000</v>
      </c>
      <c r="S44" s="64"/>
      <c r="T44" s="64"/>
      <c r="U44" s="64"/>
      <c r="V44" s="64"/>
      <c r="W44" s="64"/>
      <c r="X44" s="104">
        <v>496.57</v>
      </c>
      <c r="Y44" s="88">
        <v>14637.62</v>
      </c>
      <c r="Z44" s="88"/>
      <c r="AA44" s="88">
        <v>14637.62</v>
      </c>
      <c r="AB44" s="64"/>
      <c r="AC44" s="88">
        <v>8913.2000000000007</v>
      </c>
      <c r="AD44" s="64"/>
      <c r="AE44" s="64"/>
      <c r="AF44" s="64"/>
      <c r="AG44" s="64"/>
      <c r="AH44" s="103" t="s">
        <v>280</v>
      </c>
      <c r="AI44" s="101" t="s">
        <v>280</v>
      </c>
      <c r="AJ44" s="64"/>
      <c r="AK44" s="88">
        <v>166079.76</v>
      </c>
    </row>
    <row r="45" spans="2:37" ht="12.75" customHeight="1">
      <c r="B45" s="5">
        <v>31</v>
      </c>
      <c r="C45" s="84" t="s">
        <v>382</v>
      </c>
      <c r="D45" s="84" t="s">
        <v>210</v>
      </c>
      <c r="E45" s="84" t="s">
        <v>211</v>
      </c>
      <c r="F45" s="84" t="s">
        <v>213</v>
      </c>
      <c r="G45" s="84" t="s">
        <v>214</v>
      </c>
      <c r="H45" s="111">
        <v>445.55</v>
      </c>
      <c r="I45" s="84" t="s">
        <v>266</v>
      </c>
      <c r="J45" s="84" t="s">
        <v>267</v>
      </c>
      <c r="K45" s="88">
        <v>11584.35</v>
      </c>
      <c r="L45" s="64"/>
      <c r="M45" s="64"/>
      <c r="N45" s="103" t="s">
        <v>280</v>
      </c>
      <c r="O45" s="102">
        <v>3000</v>
      </c>
      <c r="P45" s="64"/>
      <c r="Q45" s="102"/>
      <c r="R45" s="104">
        <v>1000</v>
      </c>
      <c r="S45" s="64"/>
      <c r="T45" s="64"/>
      <c r="U45" s="64"/>
      <c r="V45" s="64"/>
      <c r="W45" s="64"/>
      <c r="X45" s="103" t="s">
        <v>280</v>
      </c>
      <c r="Y45" s="88">
        <v>11584.35</v>
      </c>
      <c r="Z45" s="88"/>
      <c r="AA45" s="88">
        <v>6022.63</v>
      </c>
      <c r="AB45" s="64"/>
      <c r="AC45" s="88">
        <v>7668.8</v>
      </c>
      <c r="AD45" s="64"/>
      <c r="AE45" s="64"/>
      <c r="AF45" s="64"/>
      <c r="AG45" s="64"/>
      <c r="AH45" s="103" t="s">
        <v>280</v>
      </c>
      <c r="AI45" s="101" t="s">
        <v>280</v>
      </c>
      <c r="AJ45" s="64"/>
      <c r="AK45" s="88">
        <v>139012.24</v>
      </c>
    </row>
    <row r="46" spans="2:37" ht="12.75" customHeight="1">
      <c r="B46" s="5">
        <v>32</v>
      </c>
      <c r="C46" s="84" t="s">
        <v>383</v>
      </c>
      <c r="D46" s="84" t="s">
        <v>235</v>
      </c>
      <c r="E46" s="84" t="s">
        <v>236</v>
      </c>
      <c r="F46" s="84" t="s">
        <v>213</v>
      </c>
      <c r="G46" s="84" t="s">
        <v>214</v>
      </c>
      <c r="H46" s="111">
        <v>483.88</v>
      </c>
      <c r="I46" s="84" t="s">
        <v>266</v>
      </c>
      <c r="J46" s="84" t="s">
        <v>267</v>
      </c>
      <c r="K46" s="88">
        <v>12581.07</v>
      </c>
      <c r="L46" s="64"/>
      <c r="M46" s="64"/>
      <c r="N46" s="103" t="s">
        <v>280</v>
      </c>
      <c r="O46" s="102">
        <v>3000</v>
      </c>
      <c r="P46" s="64"/>
      <c r="Q46" s="102"/>
      <c r="R46" s="104">
        <v>1000</v>
      </c>
      <c r="S46" s="64"/>
      <c r="T46" s="64"/>
      <c r="U46" s="64"/>
      <c r="V46" s="64"/>
      <c r="W46" s="64"/>
      <c r="X46" s="103" t="s">
        <v>280</v>
      </c>
      <c r="Y46" s="88">
        <v>12581.07</v>
      </c>
      <c r="Z46" s="88"/>
      <c r="AA46" s="88">
        <v>3145.27</v>
      </c>
      <c r="AB46" s="64"/>
      <c r="AC46" s="88">
        <v>5087.6499999999996</v>
      </c>
      <c r="AD46" s="64"/>
      <c r="AE46" s="64"/>
      <c r="AF46" s="64"/>
      <c r="AG46" s="64"/>
      <c r="AH46" s="103" t="s">
        <v>280</v>
      </c>
      <c r="AI46" s="101" t="s">
        <v>280</v>
      </c>
      <c r="AJ46" s="64"/>
      <c r="AK46" s="88">
        <v>92405.72</v>
      </c>
    </row>
    <row r="47" spans="2:37" ht="12.75" customHeight="1">
      <c r="B47" s="5">
        <v>33</v>
      </c>
      <c r="C47" s="84" t="s">
        <v>384</v>
      </c>
      <c r="D47" s="84" t="s">
        <v>237</v>
      </c>
      <c r="E47" s="84" t="s">
        <v>217</v>
      </c>
      <c r="F47" s="84" t="s">
        <v>213</v>
      </c>
      <c r="G47" s="84" t="s">
        <v>212</v>
      </c>
      <c r="H47" s="111">
        <v>380</v>
      </c>
      <c r="I47" s="84" t="s">
        <v>266</v>
      </c>
      <c r="J47" s="84" t="s">
        <v>267</v>
      </c>
      <c r="K47" s="88">
        <v>9880</v>
      </c>
      <c r="L47" s="64"/>
      <c r="M47" s="64"/>
      <c r="N47" s="103" t="s">
        <v>280</v>
      </c>
      <c r="O47" s="102">
        <v>3000</v>
      </c>
      <c r="P47" s="64"/>
      <c r="Q47" s="102"/>
      <c r="R47" s="103" t="s">
        <v>280</v>
      </c>
      <c r="S47" s="64"/>
      <c r="T47" s="64"/>
      <c r="U47" s="64"/>
      <c r="V47" s="64"/>
      <c r="W47" s="64"/>
      <c r="X47" s="88">
        <v>174.85</v>
      </c>
      <c r="Y47" s="104">
        <v>2470</v>
      </c>
      <c r="Z47" s="88"/>
      <c r="AA47" s="88">
        <v>2000</v>
      </c>
      <c r="AB47" s="64"/>
      <c r="AC47" s="88">
        <v>1189.5</v>
      </c>
      <c r="AD47" s="64"/>
      <c r="AE47" s="64"/>
      <c r="AF47" s="64"/>
      <c r="AG47" s="64"/>
      <c r="AH47" s="103" t="s">
        <v>280</v>
      </c>
      <c r="AI47" s="101" t="s">
        <v>280</v>
      </c>
      <c r="AJ47" s="64"/>
      <c r="AK47" s="88">
        <v>25558.58</v>
      </c>
    </row>
    <row r="48" spans="2:37" ht="12.75" customHeight="1">
      <c r="B48" s="5">
        <v>34</v>
      </c>
      <c r="C48" s="84" t="s">
        <v>385</v>
      </c>
      <c r="D48" s="84" t="s">
        <v>215</v>
      </c>
      <c r="E48" s="84" t="s">
        <v>211</v>
      </c>
      <c r="F48" s="84" t="s">
        <v>213</v>
      </c>
      <c r="G48" s="84" t="s">
        <v>214</v>
      </c>
      <c r="H48" s="111">
        <v>488.83</v>
      </c>
      <c r="I48" s="84" t="s">
        <v>266</v>
      </c>
      <c r="J48" s="84" t="s">
        <v>267</v>
      </c>
      <c r="K48" s="88">
        <v>12709.59</v>
      </c>
      <c r="L48" s="64"/>
      <c r="M48" s="64"/>
      <c r="N48" s="103" t="s">
        <v>280</v>
      </c>
      <c r="O48" s="102">
        <v>3000</v>
      </c>
      <c r="P48" s="64"/>
      <c r="Q48" s="102"/>
      <c r="R48" s="104">
        <v>1000</v>
      </c>
      <c r="S48" s="64"/>
      <c r="T48" s="64"/>
      <c r="U48" s="64"/>
      <c r="V48" s="64"/>
      <c r="W48" s="64"/>
      <c r="X48" s="88">
        <v>3998.38</v>
      </c>
      <c r="Y48" s="88">
        <v>12709.59</v>
      </c>
      <c r="Z48" s="88"/>
      <c r="AA48" s="88">
        <v>12709.6</v>
      </c>
      <c r="AB48" s="64"/>
      <c r="AC48" s="88">
        <v>7791.6</v>
      </c>
      <c r="AD48" s="64"/>
      <c r="AE48" s="64"/>
      <c r="AF48" s="64"/>
      <c r="AG48" s="64"/>
      <c r="AH48" s="103" t="s">
        <v>280</v>
      </c>
      <c r="AI48" s="101" t="s">
        <v>280</v>
      </c>
      <c r="AJ48" s="64"/>
      <c r="AK48" s="88">
        <v>13918631</v>
      </c>
    </row>
    <row r="49" spans="2:37" ht="12.75" customHeight="1">
      <c r="B49" s="5">
        <v>35</v>
      </c>
      <c r="C49" s="84" t="s">
        <v>386</v>
      </c>
      <c r="D49" s="84" t="s">
        <v>238</v>
      </c>
      <c r="E49" s="84" t="s">
        <v>221</v>
      </c>
      <c r="F49" s="84" t="s">
        <v>213</v>
      </c>
      <c r="G49" s="84" t="s">
        <v>214</v>
      </c>
      <c r="H49" s="111">
        <v>393.27</v>
      </c>
      <c r="I49" s="84" t="s">
        <v>266</v>
      </c>
      <c r="J49" s="84" t="s">
        <v>267</v>
      </c>
      <c r="K49" s="88">
        <v>10225.14</v>
      </c>
      <c r="L49" s="64"/>
      <c r="M49" s="64"/>
      <c r="N49" s="103" t="s">
        <v>280</v>
      </c>
      <c r="O49" s="102">
        <v>3000</v>
      </c>
      <c r="P49" s="64"/>
      <c r="Q49" s="102"/>
      <c r="R49" s="103" t="s">
        <v>280</v>
      </c>
      <c r="S49" s="64"/>
      <c r="T49" s="64"/>
      <c r="U49" s="64"/>
      <c r="V49" s="64"/>
      <c r="W49" s="64"/>
      <c r="X49" s="103" t="s">
        <v>280</v>
      </c>
      <c r="Y49" s="88">
        <v>10225.14</v>
      </c>
      <c r="Z49" s="88"/>
      <c r="AA49" s="88">
        <v>8180.11</v>
      </c>
      <c r="AB49" s="64"/>
      <c r="AC49" s="88">
        <v>6887.2</v>
      </c>
      <c r="AD49" s="64"/>
      <c r="AE49" s="64"/>
      <c r="AF49" s="64"/>
      <c r="AG49" s="64"/>
      <c r="AH49" s="103" t="s">
        <v>280</v>
      </c>
      <c r="AI49" s="101" t="s">
        <v>280</v>
      </c>
      <c r="AJ49" s="64"/>
      <c r="AK49" s="88">
        <v>124007.8</v>
      </c>
    </row>
    <row r="50" spans="2:37" ht="12.75" customHeight="1">
      <c r="B50" s="5">
        <v>36</v>
      </c>
      <c r="C50" s="84" t="s">
        <v>387</v>
      </c>
      <c r="D50" s="84" t="s">
        <v>239</v>
      </c>
      <c r="E50" s="84" t="s">
        <v>217</v>
      </c>
      <c r="F50" s="84" t="s">
        <v>213</v>
      </c>
      <c r="G50" s="84" t="s">
        <v>214</v>
      </c>
      <c r="H50" s="111">
        <v>433.83</v>
      </c>
      <c r="I50" s="84" t="s">
        <v>266</v>
      </c>
      <c r="J50" s="84" t="s">
        <v>267</v>
      </c>
      <c r="K50" s="88">
        <v>11279.74</v>
      </c>
      <c r="L50" s="64"/>
      <c r="M50" s="64"/>
      <c r="N50" s="103" t="s">
        <v>280</v>
      </c>
      <c r="O50" s="102">
        <v>3000</v>
      </c>
      <c r="P50" s="64"/>
      <c r="Q50" s="102"/>
      <c r="R50" s="103" t="s">
        <v>280</v>
      </c>
      <c r="S50" s="64"/>
      <c r="T50" s="64"/>
      <c r="U50" s="64"/>
      <c r="V50" s="64"/>
      <c r="W50" s="64"/>
      <c r="X50" s="103" t="s">
        <v>280</v>
      </c>
      <c r="Y50" s="88">
        <v>12045.25</v>
      </c>
      <c r="Z50" s="88"/>
      <c r="AA50" s="88">
        <v>8117.69</v>
      </c>
      <c r="AB50" s="64"/>
      <c r="AC50" s="88">
        <v>7473.2</v>
      </c>
      <c r="AD50" s="64"/>
      <c r="AE50" s="64"/>
      <c r="AF50" s="64"/>
      <c r="AG50" s="64"/>
      <c r="AH50" s="103" t="s">
        <v>280</v>
      </c>
      <c r="AI50" s="101" t="s">
        <v>280</v>
      </c>
      <c r="AJ50" s="64"/>
      <c r="AK50" s="88">
        <v>135356.96</v>
      </c>
    </row>
    <row r="51" spans="2:37" ht="12.75" customHeight="1">
      <c r="B51" s="5">
        <v>37</v>
      </c>
      <c r="C51" s="84" t="s">
        <v>388</v>
      </c>
      <c r="D51" s="84" t="s">
        <v>210</v>
      </c>
      <c r="E51" s="84" t="s">
        <v>211</v>
      </c>
      <c r="F51" s="84" t="s">
        <v>213</v>
      </c>
      <c r="G51" s="84" t="s">
        <v>214</v>
      </c>
      <c r="H51" s="111">
        <v>488.75</v>
      </c>
      <c r="I51" s="84" t="s">
        <v>266</v>
      </c>
      <c r="J51" s="84" t="s">
        <v>267</v>
      </c>
      <c r="K51" s="88">
        <v>12707.63</v>
      </c>
      <c r="L51" s="64"/>
      <c r="M51" s="64"/>
      <c r="N51" s="103" t="s">
        <v>280</v>
      </c>
      <c r="O51" s="102">
        <v>3000</v>
      </c>
      <c r="P51" s="64"/>
      <c r="Q51" s="102"/>
      <c r="R51" s="104">
        <v>1000</v>
      </c>
      <c r="S51" s="64"/>
      <c r="T51" s="64"/>
      <c r="U51" s="64"/>
      <c r="V51" s="64"/>
      <c r="W51" s="64"/>
      <c r="X51" s="88">
        <v>4670.0600000000004</v>
      </c>
      <c r="Y51" s="88">
        <v>12707.63</v>
      </c>
      <c r="Z51" s="88"/>
      <c r="AA51" s="88">
        <v>6353.82</v>
      </c>
      <c r="AB51" s="64"/>
      <c r="AC51" s="88">
        <v>7741.6</v>
      </c>
      <c r="AD51" s="64"/>
      <c r="AE51" s="64"/>
      <c r="AF51" s="64"/>
      <c r="AG51" s="64"/>
      <c r="AH51" s="103" t="s">
        <v>280</v>
      </c>
      <c r="AI51" s="101" t="s">
        <v>280</v>
      </c>
      <c r="AJ51" s="64"/>
      <c r="AK51" s="88">
        <v>142001.07</v>
      </c>
    </row>
    <row r="52" spans="2:37" ht="12.75" customHeight="1">
      <c r="B52" s="5">
        <v>38</v>
      </c>
      <c r="C52" s="84" t="s">
        <v>389</v>
      </c>
      <c r="D52" s="84" t="s">
        <v>240</v>
      </c>
      <c r="E52" s="84" t="s">
        <v>221</v>
      </c>
      <c r="F52" s="84" t="s">
        <v>213</v>
      </c>
      <c r="G52" s="84" t="s">
        <v>214</v>
      </c>
      <c r="H52" s="111">
        <v>381.15</v>
      </c>
      <c r="I52" s="84" t="s">
        <v>266</v>
      </c>
      <c r="J52" s="84" t="s">
        <v>267</v>
      </c>
      <c r="K52" s="88">
        <v>9910</v>
      </c>
      <c r="L52" s="64"/>
      <c r="M52" s="64"/>
      <c r="N52" s="103" t="s">
        <v>280</v>
      </c>
      <c r="O52" s="102">
        <v>3000</v>
      </c>
      <c r="P52" s="64"/>
      <c r="Q52" s="102"/>
      <c r="R52" s="103" t="s">
        <v>280</v>
      </c>
      <c r="S52" s="64"/>
      <c r="T52" s="64"/>
      <c r="U52" s="64"/>
      <c r="V52" s="64"/>
      <c r="W52" s="64"/>
      <c r="X52" s="103" t="s">
        <v>280</v>
      </c>
      <c r="Y52" s="88">
        <v>9910</v>
      </c>
      <c r="Z52" s="88"/>
      <c r="AA52" s="88">
        <v>2477.5</v>
      </c>
      <c r="AB52" s="64"/>
      <c r="AC52" s="88">
        <v>6837.2</v>
      </c>
      <c r="AD52" s="64"/>
      <c r="AE52" s="64"/>
      <c r="AF52" s="64"/>
      <c r="AG52" s="64"/>
      <c r="AH52" s="103" t="s">
        <v>280</v>
      </c>
      <c r="AI52" s="101" t="s">
        <v>280</v>
      </c>
      <c r="AJ52" s="64"/>
      <c r="AK52" s="88">
        <v>121154.27</v>
      </c>
    </row>
    <row r="53" spans="2:37" ht="12.75" customHeight="1">
      <c r="B53" s="5">
        <v>39</v>
      </c>
      <c r="C53" s="84" t="s">
        <v>390</v>
      </c>
      <c r="D53" s="84" t="s">
        <v>241</v>
      </c>
      <c r="E53" s="84" t="s">
        <v>242</v>
      </c>
      <c r="F53" s="84" t="s">
        <v>213</v>
      </c>
      <c r="G53" s="84" t="s">
        <v>214</v>
      </c>
      <c r="H53" s="111">
        <v>421.41</v>
      </c>
      <c r="I53" s="84" t="s">
        <v>266</v>
      </c>
      <c r="J53" s="84" t="s">
        <v>267</v>
      </c>
      <c r="K53" s="88">
        <v>10956.85</v>
      </c>
      <c r="L53" s="64"/>
      <c r="M53" s="64"/>
      <c r="N53" s="103" t="s">
        <v>280</v>
      </c>
      <c r="O53" s="102">
        <v>3000</v>
      </c>
      <c r="P53" s="64"/>
      <c r="Q53" s="102"/>
      <c r="R53" s="103" t="s">
        <v>280</v>
      </c>
      <c r="S53" s="64"/>
      <c r="T53" s="64"/>
      <c r="U53" s="64"/>
      <c r="V53" s="64"/>
      <c r="W53" s="64"/>
      <c r="X53" s="103" t="s">
        <v>280</v>
      </c>
      <c r="Y53" s="88">
        <v>10956.85</v>
      </c>
      <c r="Z53" s="88"/>
      <c r="AA53" s="88">
        <v>8765.49</v>
      </c>
      <c r="AB53" s="64"/>
      <c r="AC53" s="88">
        <v>7350.8</v>
      </c>
      <c r="AD53" s="64"/>
      <c r="AE53" s="64"/>
      <c r="AF53" s="64"/>
      <c r="AG53" s="64"/>
      <c r="AH53" s="103" t="s">
        <v>280</v>
      </c>
      <c r="AI53" s="101" t="s">
        <v>280</v>
      </c>
      <c r="AJ53" s="64"/>
      <c r="AK53" s="88">
        <v>132416.35999999999</v>
      </c>
    </row>
    <row r="54" spans="2:37" ht="12.75" customHeight="1">
      <c r="B54" s="5">
        <v>40</v>
      </c>
      <c r="C54" s="84" t="s">
        <v>391</v>
      </c>
      <c r="D54" s="84" t="s">
        <v>243</v>
      </c>
      <c r="E54" s="84" t="s">
        <v>219</v>
      </c>
      <c r="F54" s="84" t="s">
        <v>213</v>
      </c>
      <c r="G54" s="84" t="s">
        <v>214</v>
      </c>
      <c r="H54" s="111">
        <v>476.63</v>
      </c>
      <c r="I54" s="84" t="s">
        <v>266</v>
      </c>
      <c r="J54" s="84" t="s">
        <v>267</v>
      </c>
      <c r="K54" s="88">
        <v>12392.59</v>
      </c>
      <c r="L54" s="64"/>
      <c r="M54" s="64"/>
      <c r="N54" s="103" t="s">
        <v>280</v>
      </c>
      <c r="O54" s="102">
        <v>3000</v>
      </c>
      <c r="P54" s="64"/>
      <c r="Q54" s="102"/>
      <c r="R54" s="104">
        <v>1000</v>
      </c>
      <c r="S54" s="64"/>
      <c r="T54" s="64"/>
      <c r="U54" s="64"/>
      <c r="V54" s="64"/>
      <c r="W54" s="64"/>
      <c r="X54" s="103" t="s">
        <v>280</v>
      </c>
      <c r="Y54" s="88">
        <v>12392.59</v>
      </c>
      <c r="Z54" s="88"/>
      <c r="AA54" s="88">
        <v>12382.6</v>
      </c>
      <c r="AB54" s="64"/>
      <c r="AC54" s="88">
        <v>7986.8</v>
      </c>
      <c r="AD54" s="64"/>
      <c r="AE54" s="64"/>
      <c r="AF54" s="64"/>
      <c r="AG54" s="64"/>
      <c r="AH54" s="103" t="s">
        <v>280</v>
      </c>
      <c r="AI54" s="101" t="s">
        <v>280</v>
      </c>
      <c r="AJ54" s="64"/>
      <c r="AK54" s="88">
        <v>146120.18</v>
      </c>
    </row>
    <row r="55" spans="2:37" ht="12.75" customHeight="1">
      <c r="B55" s="5">
        <v>41</v>
      </c>
      <c r="C55" s="84" t="s">
        <v>392</v>
      </c>
      <c r="D55" s="84" t="s">
        <v>244</v>
      </c>
      <c r="E55" s="84" t="s">
        <v>211</v>
      </c>
      <c r="F55" s="84" t="s">
        <v>246</v>
      </c>
      <c r="G55" s="84" t="s">
        <v>245</v>
      </c>
      <c r="H55" s="111">
        <v>1153.8399999999999</v>
      </c>
      <c r="I55" s="84" t="s">
        <v>266</v>
      </c>
      <c r="J55" s="84" t="s">
        <v>267</v>
      </c>
      <c r="K55" s="88">
        <v>30000</v>
      </c>
      <c r="L55" s="64"/>
      <c r="M55" s="64"/>
      <c r="N55" s="104">
        <v>10000</v>
      </c>
      <c r="O55" s="102">
        <v>3000</v>
      </c>
      <c r="P55" s="64"/>
      <c r="Q55" s="102"/>
      <c r="R55" s="103" t="s">
        <v>280</v>
      </c>
      <c r="S55" s="64"/>
      <c r="T55" s="64"/>
      <c r="U55" s="64"/>
      <c r="V55" s="64"/>
      <c r="W55" s="64"/>
      <c r="X55" s="103" t="s">
        <v>280</v>
      </c>
      <c r="Y55" s="88">
        <v>30000</v>
      </c>
      <c r="Z55" s="88"/>
      <c r="AA55" s="88">
        <v>20000</v>
      </c>
      <c r="AB55" s="64"/>
      <c r="AC55" s="88">
        <v>5144.1000000000004</v>
      </c>
      <c r="AD55" s="64"/>
      <c r="AE55" s="64"/>
      <c r="AF55" s="64"/>
      <c r="AG55" s="64"/>
      <c r="AH55" s="103" t="s">
        <v>280</v>
      </c>
      <c r="AI55" s="101" t="s">
        <v>280</v>
      </c>
      <c r="AJ55" s="64"/>
      <c r="AK55" s="88">
        <v>215144.1</v>
      </c>
    </row>
    <row r="56" spans="2:37" ht="12.75" customHeight="1">
      <c r="B56" s="5">
        <v>42</v>
      </c>
      <c r="C56" s="84" t="s">
        <v>393</v>
      </c>
      <c r="D56" s="84" t="s">
        <v>247</v>
      </c>
      <c r="E56" s="84" t="s">
        <v>217</v>
      </c>
      <c r="F56" s="84" t="s">
        <v>213</v>
      </c>
      <c r="G56" s="84" t="s">
        <v>214</v>
      </c>
      <c r="H56" s="111">
        <v>565.84</v>
      </c>
      <c r="I56" s="84" t="s">
        <v>266</v>
      </c>
      <c r="J56" s="84" t="s">
        <v>267</v>
      </c>
      <c r="K56" s="88">
        <v>14712.01</v>
      </c>
      <c r="L56" s="64"/>
      <c r="M56" s="64"/>
      <c r="N56" s="103" t="s">
        <v>280</v>
      </c>
      <c r="O56" s="102">
        <v>3000</v>
      </c>
      <c r="P56" s="64"/>
      <c r="Q56" s="102"/>
      <c r="R56" s="104">
        <v>1000</v>
      </c>
      <c r="S56" s="64"/>
      <c r="T56" s="64"/>
      <c r="U56" s="64"/>
      <c r="V56" s="64"/>
      <c r="W56" s="64"/>
      <c r="X56" s="103" t="s">
        <v>280</v>
      </c>
      <c r="Y56" s="88">
        <v>14712.01</v>
      </c>
      <c r="Z56" s="88"/>
      <c r="AA56" s="88">
        <v>14712.02</v>
      </c>
      <c r="AB56" s="64"/>
      <c r="AC56" s="88">
        <v>9549.2000000000007</v>
      </c>
      <c r="AD56" s="64"/>
      <c r="AE56" s="64"/>
      <c r="AF56" s="64"/>
      <c r="AG56" s="64"/>
      <c r="AH56" s="103" t="s">
        <v>280</v>
      </c>
      <c r="AI56" s="101" t="s">
        <v>280</v>
      </c>
      <c r="AJ56" s="64"/>
      <c r="AK56" s="88">
        <v>179017.76</v>
      </c>
    </row>
    <row r="57" spans="2:37" ht="12.75" customHeight="1">
      <c r="B57" s="5">
        <v>43</v>
      </c>
      <c r="C57" s="84" t="s">
        <v>394</v>
      </c>
      <c r="D57" s="84" t="s">
        <v>215</v>
      </c>
      <c r="E57" s="84" t="s">
        <v>211</v>
      </c>
      <c r="F57" s="84" t="s">
        <v>213</v>
      </c>
      <c r="G57" s="84" t="s">
        <v>214</v>
      </c>
      <c r="H57" s="111">
        <v>483.88</v>
      </c>
      <c r="I57" s="84" t="s">
        <v>266</v>
      </c>
      <c r="J57" s="84" t="s">
        <v>267</v>
      </c>
      <c r="K57" s="88">
        <v>12581.07</v>
      </c>
      <c r="L57" s="64"/>
      <c r="M57" s="64"/>
      <c r="N57" s="103" t="s">
        <v>280</v>
      </c>
      <c r="O57" s="102">
        <v>3000</v>
      </c>
      <c r="P57" s="64"/>
      <c r="Q57" s="102"/>
      <c r="R57" s="104">
        <v>1000</v>
      </c>
      <c r="S57" s="64"/>
      <c r="T57" s="64"/>
      <c r="U57" s="64"/>
      <c r="V57" s="64"/>
      <c r="W57" s="64"/>
      <c r="X57" s="88">
        <v>5064.71</v>
      </c>
      <c r="Y57" s="88">
        <v>12581.07</v>
      </c>
      <c r="Z57" s="88"/>
      <c r="AA57" s="88">
        <v>3145.27</v>
      </c>
      <c r="AB57" s="64"/>
      <c r="AC57" s="88">
        <v>6020.7</v>
      </c>
      <c r="AD57" s="64"/>
      <c r="AE57" s="64"/>
      <c r="AF57" s="64"/>
      <c r="AG57" s="64"/>
      <c r="AH57" s="103" t="s">
        <v>280</v>
      </c>
      <c r="AI57" s="101" t="s">
        <v>280</v>
      </c>
      <c r="AJ57" s="64"/>
      <c r="AK57" s="88">
        <v>115091.85</v>
      </c>
    </row>
    <row r="58" spans="2:37" ht="15.75" customHeight="1">
      <c r="B58" s="5">
        <v>44</v>
      </c>
      <c r="C58" s="84" t="s">
        <v>395</v>
      </c>
      <c r="D58" s="84" t="s">
        <v>248</v>
      </c>
      <c r="E58" s="84" t="s">
        <v>236</v>
      </c>
      <c r="F58" s="84" t="s">
        <v>213</v>
      </c>
      <c r="G58" s="84" t="s">
        <v>214</v>
      </c>
      <c r="H58" s="111">
        <v>668.93</v>
      </c>
      <c r="I58" s="84" t="s">
        <v>266</v>
      </c>
      <c r="J58" s="84" t="s">
        <v>267</v>
      </c>
      <c r="K58" s="88">
        <v>17392.240000000002</v>
      </c>
      <c r="L58" s="105"/>
      <c r="M58" s="105"/>
      <c r="N58" s="103" t="s">
        <v>280</v>
      </c>
      <c r="O58" s="102">
        <v>3000</v>
      </c>
      <c r="P58" s="105"/>
      <c r="Q58" s="102"/>
      <c r="R58" s="103" t="s">
        <v>280</v>
      </c>
      <c r="S58" s="105"/>
      <c r="T58" s="105"/>
      <c r="U58" s="105"/>
      <c r="V58" s="105"/>
      <c r="W58" s="105"/>
      <c r="X58" s="88">
        <v>6790.07</v>
      </c>
      <c r="Y58" s="88">
        <v>17392.240000000002</v>
      </c>
      <c r="Z58" s="88"/>
      <c r="AA58" s="88">
        <v>12174.57</v>
      </c>
      <c r="AB58" s="105"/>
      <c r="AC58" s="88">
        <v>10675.6</v>
      </c>
      <c r="AD58" s="105"/>
      <c r="AE58" s="105"/>
      <c r="AF58" s="105"/>
      <c r="AG58" s="105"/>
      <c r="AH58" s="103" t="s">
        <v>280</v>
      </c>
      <c r="AI58" s="101" t="s">
        <v>280</v>
      </c>
      <c r="AJ58" s="105"/>
      <c r="AK58" s="88">
        <v>214996.56</v>
      </c>
    </row>
    <row r="59" spans="2:37" ht="15.75" customHeight="1">
      <c r="B59" s="5">
        <v>45</v>
      </c>
      <c r="C59" s="84" t="s">
        <v>396</v>
      </c>
      <c r="D59" s="84" t="s">
        <v>249</v>
      </c>
      <c r="E59" s="84" t="s">
        <v>217</v>
      </c>
      <c r="F59" s="84" t="s">
        <v>213</v>
      </c>
      <c r="G59" s="84" t="s">
        <v>212</v>
      </c>
      <c r="H59" s="111">
        <v>380</v>
      </c>
      <c r="I59" s="84" t="s">
        <v>266</v>
      </c>
      <c r="J59" s="84" t="s">
        <v>267</v>
      </c>
      <c r="K59" s="88">
        <v>9880</v>
      </c>
      <c r="L59" s="105"/>
      <c r="M59" s="105"/>
      <c r="N59" s="103" t="s">
        <v>280</v>
      </c>
      <c r="O59" s="102">
        <v>3000</v>
      </c>
      <c r="P59" s="105"/>
      <c r="Q59" s="102"/>
      <c r="R59" s="103" t="s">
        <v>280</v>
      </c>
      <c r="S59" s="105"/>
      <c r="T59" s="105"/>
      <c r="U59" s="105"/>
      <c r="V59" s="105"/>
      <c r="W59" s="105"/>
      <c r="X59" s="103" t="s">
        <v>280</v>
      </c>
      <c r="Y59" s="103" t="s">
        <v>280</v>
      </c>
      <c r="Z59" s="88"/>
      <c r="AA59" s="88">
        <v>2000</v>
      </c>
      <c r="AB59" s="105"/>
      <c r="AC59" s="88">
        <v>475.8</v>
      </c>
      <c r="AD59" s="105"/>
      <c r="AE59" s="105"/>
      <c r="AF59" s="105"/>
      <c r="AG59" s="105"/>
      <c r="AH59" s="103" t="s">
        <v>280</v>
      </c>
      <c r="AI59" s="101" t="s">
        <v>280</v>
      </c>
      <c r="AJ59" s="105"/>
      <c r="AK59" s="88">
        <v>8812.0499999999993</v>
      </c>
    </row>
    <row r="60" spans="2:37" ht="15.75" customHeight="1">
      <c r="B60" s="5">
        <v>46</v>
      </c>
      <c r="C60" s="84" t="s">
        <v>397</v>
      </c>
      <c r="D60" s="84" t="s">
        <v>250</v>
      </c>
      <c r="E60" s="84" t="s">
        <v>236</v>
      </c>
      <c r="F60" s="84" t="s">
        <v>213</v>
      </c>
      <c r="G60" s="84" t="s">
        <v>214</v>
      </c>
      <c r="H60" s="111">
        <v>763.37</v>
      </c>
      <c r="I60" s="84" t="s">
        <v>266</v>
      </c>
      <c r="J60" s="84" t="s">
        <v>267</v>
      </c>
      <c r="K60" s="88">
        <v>19847.669999999998</v>
      </c>
      <c r="L60" s="105"/>
      <c r="M60" s="105"/>
      <c r="N60" s="103" t="s">
        <v>280</v>
      </c>
      <c r="O60" s="102">
        <v>3000</v>
      </c>
      <c r="P60" s="105"/>
      <c r="Q60" s="102"/>
      <c r="R60" s="104">
        <v>1000</v>
      </c>
      <c r="S60" s="105"/>
      <c r="T60" s="105"/>
      <c r="U60" s="105"/>
      <c r="V60" s="105"/>
      <c r="W60" s="105"/>
      <c r="X60" s="88">
        <v>6498.26</v>
      </c>
      <c r="Y60" s="88">
        <v>19847.669999999998</v>
      </c>
      <c r="Z60" s="88"/>
      <c r="AA60" s="88">
        <v>19847.68</v>
      </c>
      <c r="AB60" s="105"/>
      <c r="AC60" s="88">
        <v>10963.1</v>
      </c>
      <c r="AD60" s="105"/>
      <c r="AE60" s="105"/>
      <c r="AF60" s="105"/>
      <c r="AG60" s="105"/>
      <c r="AH60" s="103" t="s">
        <v>280</v>
      </c>
      <c r="AI60" s="101" t="s">
        <v>280</v>
      </c>
      <c r="AJ60" s="105"/>
      <c r="AK60" s="88">
        <v>228554.2</v>
      </c>
    </row>
    <row r="61" spans="2:37" ht="15.75" customHeight="1">
      <c r="B61" s="5">
        <v>47</v>
      </c>
      <c r="C61" s="84" t="s">
        <v>398</v>
      </c>
      <c r="D61" s="84" t="s">
        <v>251</v>
      </c>
      <c r="E61" s="84" t="s">
        <v>221</v>
      </c>
      <c r="F61" s="84" t="s">
        <v>213</v>
      </c>
      <c r="G61" s="84" t="s">
        <v>214</v>
      </c>
      <c r="H61" s="111">
        <v>393.27</v>
      </c>
      <c r="I61" s="84" t="s">
        <v>266</v>
      </c>
      <c r="J61" s="84" t="s">
        <v>267</v>
      </c>
      <c r="K61" s="88">
        <v>10225.14</v>
      </c>
      <c r="L61" s="105"/>
      <c r="M61" s="105"/>
      <c r="N61" s="103" t="s">
        <v>280</v>
      </c>
      <c r="O61" s="102">
        <v>3000</v>
      </c>
      <c r="P61" s="105"/>
      <c r="Q61" s="102"/>
      <c r="R61" s="103" t="s">
        <v>280</v>
      </c>
      <c r="S61" s="105"/>
      <c r="T61" s="105"/>
      <c r="U61" s="105"/>
      <c r="V61" s="105"/>
      <c r="W61" s="105"/>
      <c r="X61" s="103" t="s">
        <v>280</v>
      </c>
      <c r="Y61" s="88">
        <v>10225.14</v>
      </c>
      <c r="Z61" s="88"/>
      <c r="AA61" s="88">
        <v>10225.14</v>
      </c>
      <c r="AB61" s="105"/>
      <c r="AC61" s="88">
        <v>6887.2</v>
      </c>
      <c r="AD61" s="105"/>
      <c r="AE61" s="105"/>
      <c r="AF61" s="105"/>
      <c r="AG61" s="105"/>
      <c r="AH61" s="103" t="s">
        <v>280</v>
      </c>
      <c r="AI61" s="101" t="s">
        <v>280</v>
      </c>
      <c r="AJ61" s="105"/>
      <c r="AK61" s="88">
        <v>125191.1</v>
      </c>
    </row>
    <row r="62" spans="2:37" ht="15.75" customHeight="1">
      <c r="B62" s="5">
        <v>48</v>
      </c>
      <c r="C62" s="84" t="s">
        <v>399</v>
      </c>
      <c r="D62" s="84" t="s">
        <v>229</v>
      </c>
      <c r="E62" s="84" t="s">
        <v>230</v>
      </c>
      <c r="F62" s="84" t="s">
        <v>213</v>
      </c>
      <c r="G62" s="84" t="s">
        <v>214</v>
      </c>
      <c r="H62" s="111">
        <v>554.46</v>
      </c>
      <c r="I62" s="84" t="s">
        <v>266</v>
      </c>
      <c r="J62" s="84" t="s">
        <v>267</v>
      </c>
      <c r="K62" s="88">
        <v>14416</v>
      </c>
      <c r="L62" s="105"/>
      <c r="M62" s="105"/>
      <c r="N62" s="103" t="s">
        <v>280</v>
      </c>
      <c r="O62" s="102">
        <v>3000</v>
      </c>
      <c r="P62" s="105"/>
      <c r="Q62" s="102"/>
      <c r="R62" s="103" t="s">
        <v>280</v>
      </c>
      <c r="S62" s="105"/>
      <c r="T62" s="105"/>
      <c r="U62" s="105"/>
      <c r="V62" s="105"/>
      <c r="W62" s="105"/>
      <c r="X62" s="88">
        <v>7533.44</v>
      </c>
      <c r="Y62" s="88">
        <v>14416</v>
      </c>
      <c r="Z62" s="88"/>
      <c r="AA62" s="88">
        <v>3604</v>
      </c>
      <c r="AB62" s="105"/>
      <c r="AC62" s="88">
        <v>9301.5</v>
      </c>
      <c r="AD62" s="105"/>
      <c r="AE62" s="105"/>
      <c r="AF62" s="105"/>
      <c r="AG62" s="105"/>
      <c r="AH62" s="103" t="s">
        <v>280</v>
      </c>
      <c r="AI62" s="101" t="s">
        <v>280</v>
      </c>
      <c r="AJ62" s="105"/>
      <c r="AK62" s="88">
        <v>178377.53</v>
      </c>
    </row>
    <row r="63" spans="2:37" ht="15.75" customHeight="1">
      <c r="B63" s="5">
        <v>49</v>
      </c>
      <c r="C63" s="84" t="s">
        <v>400</v>
      </c>
      <c r="D63" s="84" t="s">
        <v>210</v>
      </c>
      <c r="E63" s="84" t="s">
        <v>211</v>
      </c>
      <c r="F63" s="84" t="s">
        <v>213</v>
      </c>
      <c r="G63" s="84" t="s">
        <v>214</v>
      </c>
      <c r="H63" s="111">
        <v>483.88</v>
      </c>
      <c r="I63" s="84" t="s">
        <v>266</v>
      </c>
      <c r="J63" s="84" t="s">
        <v>267</v>
      </c>
      <c r="K63" s="88">
        <v>12581.07</v>
      </c>
      <c r="L63" s="105"/>
      <c r="M63" s="105"/>
      <c r="N63" s="103" t="s">
        <v>280</v>
      </c>
      <c r="O63" s="102">
        <v>3000</v>
      </c>
      <c r="P63" s="105"/>
      <c r="Q63" s="102"/>
      <c r="R63" s="104">
        <v>1000</v>
      </c>
      <c r="S63" s="105"/>
      <c r="T63" s="105"/>
      <c r="U63" s="105"/>
      <c r="V63" s="105"/>
      <c r="W63" s="105"/>
      <c r="X63" s="88">
        <v>5106.62</v>
      </c>
      <c r="Y63" s="88">
        <v>12581.07</v>
      </c>
      <c r="Z63" s="88"/>
      <c r="AA63" s="88">
        <v>3145.27</v>
      </c>
      <c r="AB63" s="105"/>
      <c r="AC63" s="88">
        <v>7741.6</v>
      </c>
      <c r="AD63" s="105"/>
      <c r="AE63" s="105"/>
      <c r="AF63" s="105"/>
      <c r="AG63" s="105"/>
      <c r="AH63" s="103" t="s">
        <v>280</v>
      </c>
      <c r="AI63" s="101" t="s">
        <v>280</v>
      </c>
      <c r="AJ63" s="105"/>
      <c r="AK63" s="88">
        <v>139707.37</v>
      </c>
    </row>
    <row r="64" spans="2:37" ht="15.75" customHeight="1">
      <c r="B64" s="5">
        <v>50</v>
      </c>
      <c r="C64" s="84" t="s">
        <v>401</v>
      </c>
      <c r="D64" s="84" t="s">
        <v>252</v>
      </c>
      <c r="E64" s="84" t="s">
        <v>224</v>
      </c>
      <c r="F64" s="84" t="s">
        <v>213</v>
      </c>
      <c r="G64" s="84" t="s">
        <v>214</v>
      </c>
      <c r="H64" s="111">
        <v>576.91999999999996</v>
      </c>
      <c r="I64" s="84" t="s">
        <v>266</v>
      </c>
      <c r="J64" s="84" t="s">
        <v>267</v>
      </c>
      <c r="K64" s="88">
        <v>15000</v>
      </c>
      <c r="L64" s="105"/>
      <c r="M64" s="105"/>
      <c r="N64" s="103" t="s">
        <v>280</v>
      </c>
      <c r="O64" s="102">
        <v>3000</v>
      </c>
      <c r="P64" s="105"/>
      <c r="Q64" s="102"/>
      <c r="R64" s="104">
        <v>1000</v>
      </c>
      <c r="S64" s="105"/>
      <c r="T64" s="105"/>
      <c r="U64" s="105"/>
      <c r="V64" s="105"/>
      <c r="W64" s="105"/>
      <c r="X64" s="88">
        <v>6.83</v>
      </c>
      <c r="Y64" s="88">
        <v>15000</v>
      </c>
      <c r="Z64" s="88"/>
      <c r="AA64" s="88">
        <v>3750</v>
      </c>
      <c r="AB64" s="105"/>
      <c r="AC64" s="88">
        <v>8472.6</v>
      </c>
      <c r="AD64" s="105"/>
      <c r="AE64" s="105"/>
      <c r="AF64" s="105"/>
      <c r="AG64" s="105"/>
      <c r="AH64" s="103" t="s">
        <v>280</v>
      </c>
      <c r="AI64" s="101" t="s">
        <v>280</v>
      </c>
      <c r="AJ64" s="105"/>
      <c r="AK64" s="88">
        <v>163888.95999999999</v>
      </c>
    </row>
    <row r="65" spans="2:37" ht="15.75" customHeight="1">
      <c r="B65" s="5">
        <v>51</v>
      </c>
      <c r="C65" s="84" t="s">
        <v>402</v>
      </c>
      <c r="D65" s="84" t="s">
        <v>210</v>
      </c>
      <c r="E65" s="84" t="s">
        <v>211</v>
      </c>
      <c r="F65" s="84" t="s">
        <v>213</v>
      </c>
      <c r="G65" s="84" t="s">
        <v>214</v>
      </c>
      <c r="H65" s="111">
        <v>488.75</v>
      </c>
      <c r="I65" s="84" t="s">
        <v>266</v>
      </c>
      <c r="J65" s="84" t="s">
        <v>267</v>
      </c>
      <c r="K65" s="88">
        <v>12707.63</v>
      </c>
      <c r="L65" s="105"/>
      <c r="M65" s="105"/>
      <c r="N65" s="103" t="s">
        <v>280</v>
      </c>
      <c r="O65" s="102">
        <v>3000</v>
      </c>
      <c r="P65" s="105"/>
      <c r="Q65" s="102"/>
      <c r="R65" s="104">
        <v>1000</v>
      </c>
      <c r="S65" s="105"/>
      <c r="T65" s="105"/>
      <c r="U65" s="105"/>
      <c r="V65" s="105"/>
      <c r="W65" s="105"/>
      <c r="X65" s="88">
        <v>4396.66</v>
      </c>
      <c r="Y65" s="88">
        <v>12707.63</v>
      </c>
      <c r="Z65" s="88"/>
      <c r="AA65" s="88">
        <v>6353.82</v>
      </c>
      <c r="AB65" s="105"/>
      <c r="AC65" s="88">
        <v>7741.6</v>
      </c>
      <c r="AD65" s="105"/>
      <c r="AE65" s="105"/>
      <c r="AF65" s="105"/>
      <c r="AG65" s="105"/>
      <c r="AH65" s="103" t="s">
        <v>280</v>
      </c>
      <c r="AI65" s="101" t="s">
        <v>280</v>
      </c>
      <c r="AJ65" s="105"/>
      <c r="AK65" s="88">
        <v>142990.5</v>
      </c>
    </row>
    <row r="66" spans="2:37" ht="15.75" customHeight="1">
      <c r="B66" s="5">
        <v>52</v>
      </c>
      <c r="C66" s="84" t="s">
        <v>403</v>
      </c>
      <c r="D66" s="84" t="s">
        <v>210</v>
      </c>
      <c r="E66" s="84" t="s">
        <v>211</v>
      </c>
      <c r="F66" s="84" t="s">
        <v>213</v>
      </c>
      <c r="G66" s="84" t="s">
        <v>214</v>
      </c>
      <c r="H66" s="111">
        <v>483.88</v>
      </c>
      <c r="I66" s="84" t="s">
        <v>266</v>
      </c>
      <c r="J66" s="84" t="s">
        <v>267</v>
      </c>
      <c r="K66" s="88">
        <v>12581.07</v>
      </c>
      <c r="L66" s="105"/>
      <c r="M66" s="105"/>
      <c r="N66" s="103" t="s">
        <v>280</v>
      </c>
      <c r="O66" s="102">
        <v>3000</v>
      </c>
      <c r="P66" s="105"/>
      <c r="Q66" s="102"/>
      <c r="R66" s="104">
        <v>1000</v>
      </c>
      <c r="S66" s="105"/>
      <c r="T66" s="105"/>
      <c r="U66" s="105"/>
      <c r="V66" s="105"/>
      <c r="W66" s="105"/>
      <c r="X66" s="88">
        <v>1677.31</v>
      </c>
      <c r="Y66" s="88">
        <v>12581.07</v>
      </c>
      <c r="Z66" s="88"/>
      <c r="AA66" s="88">
        <v>3145.27</v>
      </c>
      <c r="AB66" s="105"/>
      <c r="AC66" s="88">
        <v>5563</v>
      </c>
      <c r="AD66" s="105"/>
      <c r="AE66" s="105"/>
      <c r="AF66" s="105"/>
      <c r="AG66" s="105"/>
      <c r="AH66" s="103" t="s">
        <v>280</v>
      </c>
      <c r="AI66" s="101" t="s">
        <v>280</v>
      </c>
      <c r="AJ66" s="105"/>
      <c r="AK66" s="88">
        <v>108779.68</v>
      </c>
    </row>
    <row r="67" spans="2:37" ht="15.75" customHeight="1">
      <c r="B67" s="5">
        <v>53</v>
      </c>
      <c r="C67" s="84" t="s">
        <v>404</v>
      </c>
      <c r="D67" s="84" t="s">
        <v>210</v>
      </c>
      <c r="E67" s="84" t="s">
        <v>211</v>
      </c>
      <c r="F67" s="84" t="s">
        <v>253</v>
      </c>
      <c r="G67" s="84" t="s">
        <v>214</v>
      </c>
      <c r="H67" s="111">
        <v>493.62</v>
      </c>
      <c r="I67" s="84" t="s">
        <v>266</v>
      </c>
      <c r="J67" s="84" t="s">
        <v>267</v>
      </c>
      <c r="K67" s="88">
        <v>12834.18</v>
      </c>
      <c r="L67" s="105"/>
      <c r="M67" s="105"/>
      <c r="N67" s="103" t="s">
        <v>280</v>
      </c>
      <c r="O67" s="102">
        <v>3000</v>
      </c>
      <c r="P67" s="105"/>
      <c r="Q67" s="102"/>
      <c r="R67" s="104">
        <v>1000</v>
      </c>
      <c r="S67" s="105"/>
      <c r="T67" s="105"/>
      <c r="U67" s="105"/>
      <c r="V67" s="105"/>
      <c r="W67" s="105"/>
      <c r="X67" s="103" t="s">
        <v>280</v>
      </c>
      <c r="Y67" s="103" t="s">
        <v>280</v>
      </c>
      <c r="Z67" s="88"/>
      <c r="AA67" s="88">
        <v>12834.18</v>
      </c>
      <c r="AB67" s="105"/>
      <c r="AC67" s="88">
        <v>7791.6</v>
      </c>
      <c r="AD67" s="105"/>
      <c r="AE67" s="105"/>
      <c r="AF67" s="105"/>
      <c r="AG67" s="105"/>
      <c r="AH67" s="88">
        <v>16463.900000000001</v>
      </c>
      <c r="AI67" s="101" t="s">
        <v>280</v>
      </c>
      <c r="AJ67" s="105"/>
      <c r="AK67" s="88">
        <v>154010.16</v>
      </c>
    </row>
    <row r="68" spans="2:37" ht="15.75" customHeight="1">
      <c r="B68" s="5">
        <v>54</v>
      </c>
      <c r="C68" s="84" t="s">
        <v>405</v>
      </c>
      <c r="D68" s="84" t="s">
        <v>210</v>
      </c>
      <c r="E68" s="84" t="s">
        <v>211</v>
      </c>
      <c r="F68" s="84" t="s">
        <v>253</v>
      </c>
      <c r="G68" s="84" t="s">
        <v>214</v>
      </c>
      <c r="H68" s="111">
        <v>488.75</v>
      </c>
      <c r="I68" s="84" t="s">
        <v>266</v>
      </c>
      <c r="J68" s="84" t="s">
        <v>267</v>
      </c>
      <c r="K68" s="88">
        <v>12707.63</v>
      </c>
      <c r="L68" s="105"/>
      <c r="M68" s="105"/>
      <c r="N68" s="103" t="s">
        <v>280</v>
      </c>
      <c r="O68" s="102">
        <v>3000</v>
      </c>
      <c r="P68" s="105"/>
      <c r="Q68" s="102"/>
      <c r="R68" s="104">
        <v>1000</v>
      </c>
      <c r="S68" s="105"/>
      <c r="T68" s="105"/>
      <c r="U68" s="105"/>
      <c r="V68" s="105"/>
      <c r="W68" s="105"/>
      <c r="X68" s="103" t="s">
        <v>280</v>
      </c>
      <c r="Y68" s="103" t="s">
        <v>280</v>
      </c>
      <c r="Z68" s="88"/>
      <c r="AA68" s="88" t="s">
        <v>280</v>
      </c>
      <c r="AB68" s="105"/>
      <c r="AC68" s="88">
        <v>6714.6</v>
      </c>
      <c r="AD68" s="105"/>
      <c r="AE68" s="105"/>
      <c r="AF68" s="105"/>
      <c r="AG68" s="105"/>
      <c r="AH68" s="88">
        <v>10869.54</v>
      </c>
      <c r="AI68" s="101" t="s">
        <v>280</v>
      </c>
      <c r="AJ68" s="105"/>
      <c r="AK68" s="88">
        <v>127076.3</v>
      </c>
    </row>
    <row r="69" spans="2:37" ht="15.75" customHeight="1">
      <c r="B69" s="5">
        <v>55</v>
      </c>
      <c r="C69" s="84" t="s">
        <v>406</v>
      </c>
      <c r="D69" s="84" t="s">
        <v>210</v>
      </c>
      <c r="E69" s="84" t="s">
        <v>211</v>
      </c>
      <c r="F69" s="84" t="s">
        <v>253</v>
      </c>
      <c r="G69" s="84" t="s">
        <v>214</v>
      </c>
      <c r="H69" s="111">
        <v>483.88</v>
      </c>
      <c r="I69" s="84" t="s">
        <v>268</v>
      </c>
      <c r="J69" s="84" t="s">
        <v>269</v>
      </c>
      <c r="K69" s="88">
        <v>12581.07</v>
      </c>
      <c r="L69" s="105"/>
      <c r="M69" s="105"/>
      <c r="N69" s="103" t="s">
        <v>280</v>
      </c>
      <c r="O69" s="102">
        <v>3000</v>
      </c>
      <c r="P69" s="105"/>
      <c r="Q69" s="102"/>
      <c r="R69" s="104">
        <v>1000</v>
      </c>
      <c r="S69" s="105"/>
      <c r="T69" s="105"/>
      <c r="U69" s="105"/>
      <c r="V69" s="105"/>
      <c r="W69" s="105"/>
      <c r="X69" s="103" t="s">
        <v>280</v>
      </c>
      <c r="Y69" s="103" t="s">
        <v>280</v>
      </c>
      <c r="Z69" s="88"/>
      <c r="AA69" s="88" t="s">
        <v>280</v>
      </c>
      <c r="AB69" s="105"/>
      <c r="AC69" s="88">
        <v>6714.6</v>
      </c>
      <c r="AD69" s="105"/>
      <c r="AE69" s="105"/>
      <c r="AF69" s="105"/>
      <c r="AG69" s="105"/>
      <c r="AH69" s="88">
        <v>12322.74</v>
      </c>
      <c r="AI69" s="101" t="s">
        <v>280</v>
      </c>
      <c r="AJ69" s="105"/>
      <c r="AK69" s="88">
        <v>125810.7</v>
      </c>
    </row>
    <row r="70" spans="2:37" ht="15.75" customHeight="1">
      <c r="B70" s="5">
        <v>56</v>
      </c>
      <c r="C70" s="84" t="s">
        <v>407</v>
      </c>
      <c r="D70" s="84" t="s">
        <v>210</v>
      </c>
      <c r="E70" s="84" t="s">
        <v>211</v>
      </c>
      <c r="F70" s="84" t="s">
        <v>253</v>
      </c>
      <c r="G70" s="84" t="s">
        <v>214</v>
      </c>
      <c r="H70" s="111">
        <v>483.88</v>
      </c>
      <c r="I70" s="84" t="s">
        <v>268</v>
      </c>
      <c r="J70" s="84" t="s">
        <v>269</v>
      </c>
      <c r="K70" s="88">
        <v>12581.07</v>
      </c>
      <c r="L70" s="105"/>
      <c r="M70" s="105"/>
      <c r="N70" s="103" t="s">
        <v>280</v>
      </c>
      <c r="O70" s="102">
        <v>3000</v>
      </c>
      <c r="P70" s="105"/>
      <c r="Q70" s="102"/>
      <c r="R70" s="104">
        <v>1000</v>
      </c>
      <c r="S70" s="105"/>
      <c r="T70" s="105"/>
      <c r="U70" s="105"/>
      <c r="V70" s="105"/>
      <c r="W70" s="105"/>
      <c r="X70" s="103" t="s">
        <v>280</v>
      </c>
      <c r="Y70" s="103" t="s">
        <v>280</v>
      </c>
      <c r="Z70" s="88"/>
      <c r="AA70" s="88" t="s">
        <v>280</v>
      </c>
      <c r="AB70" s="105"/>
      <c r="AC70" s="88">
        <v>5144.1000000000004</v>
      </c>
      <c r="AD70" s="105"/>
      <c r="AE70" s="105"/>
      <c r="AF70" s="105"/>
      <c r="AG70" s="105"/>
      <c r="AH70" s="88">
        <v>11086.63</v>
      </c>
      <c r="AI70" s="101" t="s">
        <v>280</v>
      </c>
      <c r="AJ70" s="105"/>
      <c r="AK70" s="88">
        <v>113229.63</v>
      </c>
    </row>
    <row r="71" spans="2:37" ht="15.75" customHeight="1">
      <c r="B71" s="5">
        <v>57</v>
      </c>
      <c r="C71" s="84" t="s">
        <v>408</v>
      </c>
      <c r="D71" s="84" t="s">
        <v>254</v>
      </c>
      <c r="E71" s="84" t="s">
        <v>219</v>
      </c>
      <c r="F71" s="84" t="s">
        <v>253</v>
      </c>
      <c r="G71" s="84" t="s">
        <v>214</v>
      </c>
      <c r="H71" s="111">
        <v>563</v>
      </c>
      <c r="I71" s="84" t="s">
        <v>270</v>
      </c>
      <c r="J71" s="84" t="s">
        <v>267</v>
      </c>
      <c r="K71" s="88">
        <v>14638.09</v>
      </c>
      <c r="L71" s="105"/>
      <c r="M71" s="105"/>
      <c r="N71" s="103" t="s">
        <v>280</v>
      </c>
      <c r="O71" s="102">
        <v>3000</v>
      </c>
      <c r="P71" s="105"/>
      <c r="Q71" s="102"/>
      <c r="R71" s="104">
        <v>1000</v>
      </c>
      <c r="S71" s="105"/>
      <c r="T71" s="105"/>
      <c r="U71" s="105"/>
      <c r="V71" s="105"/>
      <c r="W71" s="105"/>
      <c r="X71" s="103" t="s">
        <v>280</v>
      </c>
      <c r="Y71" s="103" t="s">
        <v>280</v>
      </c>
      <c r="Z71" s="88"/>
      <c r="AA71" s="88" t="s">
        <v>280</v>
      </c>
      <c r="AB71" s="105"/>
      <c r="AC71" s="88">
        <v>8549.2000000000007</v>
      </c>
      <c r="AD71" s="105"/>
      <c r="AE71" s="105"/>
      <c r="AF71" s="105"/>
      <c r="AG71" s="105"/>
      <c r="AH71" s="88">
        <v>41123.64</v>
      </c>
      <c r="AI71" s="101" t="s">
        <v>280</v>
      </c>
      <c r="AJ71" s="105"/>
      <c r="AK71" s="88">
        <v>131742.81</v>
      </c>
    </row>
    <row r="72" spans="2:37" ht="15.75" customHeight="1">
      <c r="B72" s="5">
        <v>58</v>
      </c>
      <c r="C72" s="84" t="s">
        <v>409</v>
      </c>
      <c r="D72" s="84" t="s">
        <v>210</v>
      </c>
      <c r="E72" s="84" t="s">
        <v>211</v>
      </c>
      <c r="F72" s="84" t="s">
        <v>253</v>
      </c>
      <c r="G72" s="84" t="s">
        <v>214</v>
      </c>
      <c r="H72" s="111">
        <v>436.35</v>
      </c>
      <c r="I72" s="84" t="s">
        <v>271</v>
      </c>
      <c r="J72" s="84" t="s">
        <v>272</v>
      </c>
      <c r="K72" s="88">
        <v>11345.23</v>
      </c>
      <c r="L72" s="105"/>
      <c r="M72" s="105"/>
      <c r="N72" s="103" t="s">
        <v>280</v>
      </c>
      <c r="O72" s="102">
        <v>3000</v>
      </c>
      <c r="P72" s="105"/>
      <c r="Q72" s="102"/>
      <c r="R72" s="104">
        <v>1000</v>
      </c>
      <c r="S72" s="105"/>
      <c r="T72" s="105"/>
      <c r="U72" s="105"/>
      <c r="V72" s="105"/>
      <c r="W72" s="105"/>
      <c r="X72" s="103" t="s">
        <v>280</v>
      </c>
      <c r="Y72" s="103" t="s">
        <v>280</v>
      </c>
      <c r="Z72" s="88"/>
      <c r="AA72" s="88" t="s">
        <v>280</v>
      </c>
      <c r="AB72" s="105"/>
      <c r="AC72" s="88">
        <v>3658.7</v>
      </c>
      <c r="AD72" s="105"/>
      <c r="AE72" s="105"/>
      <c r="AF72" s="105"/>
      <c r="AG72" s="105"/>
      <c r="AH72" s="88">
        <v>24218.29</v>
      </c>
      <c r="AI72" s="101" t="s">
        <v>280</v>
      </c>
      <c r="AJ72" s="105"/>
      <c r="AK72" s="88">
        <v>90761.84</v>
      </c>
    </row>
    <row r="73" spans="2:37" ht="15.75" customHeight="1">
      <c r="B73" s="5">
        <v>59</v>
      </c>
      <c r="C73" s="84" t="s">
        <v>410</v>
      </c>
      <c r="D73" s="84" t="s">
        <v>255</v>
      </c>
      <c r="E73" s="84" t="s">
        <v>211</v>
      </c>
      <c r="F73" s="84" t="s">
        <v>253</v>
      </c>
      <c r="G73" s="84" t="s">
        <v>214</v>
      </c>
      <c r="H73" s="111">
        <v>592.91999999999996</v>
      </c>
      <c r="I73" s="84" t="s">
        <v>273</v>
      </c>
      <c r="J73" s="84" t="s">
        <v>274</v>
      </c>
      <c r="K73" s="88">
        <v>15416</v>
      </c>
      <c r="L73" s="105"/>
      <c r="M73" s="105"/>
      <c r="N73" s="103" t="s">
        <v>280</v>
      </c>
      <c r="O73" s="102">
        <v>3000</v>
      </c>
      <c r="P73" s="105"/>
      <c r="Q73" s="102"/>
      <c r="R73" s="104">
        <v>1000</v>
      </c>
      <c r="S73" s="105"/>
      <c r="T73" s="105"/>
      <c r="U73" s="105"/>
      <c r="V73" s="105"/>
      <c r="W73" s="105"/>
      <c r="X73" s="103" t="s">
        <v>280</v>
      </c>
      <c r="Y73" s="103" t="s">
        <v>280</v>
      </c>
      <c r="Z73" s="88"/>
      <c r="AA73" s="88" t="s">
        <v>280</v>
      </c>
      <c r="AB73" s="105"/>
      <c r="AC73" s="88">
        <v>5623.6</v>
      </c>
      <c r="AD73" s="105"/>
      <c r="AE73" s="105"/>
      <c r="AF73" s="105"/>
      <c r="AG73" s="105"/>
      <c r="AH73" s="88">
        <v>16217.21</v>
      </c>
      <c r="AI73" s="101" t="s">
        <v>280</v>
      </c>
      <c r="AJ73" s="105"/>
      <c r="AK73" s="88">
        <v>123328</v>
      </c>
    </row>
    <row r="74" spans="2:37" ht="15.75" customHeight="1">
      <c r="B74" s="5">
        <v>60</v>
      </c>
      <c r="C74" s="84" t="s">
        <v>411</v>
      </c>
      <c r="D74" s="84" t="s">
        <v>210</v>
      </c>
      <c r="E74" s="84" t="s">
        <v>211</v>
      </c>
      <c r="F74" s="84" t="s">
        <v>253</v>
      </c>
      <c r="G74" s="84" t="s">
        <v>214</v>
      </c>
      <c r="H74" s="111">
        <v>421.63</v>
      </c>
      <c r="I74" s="84" t="s">
        <v>275</v>
      </c>
      <c r="J74" s="84" t="s">
        <v>276</v>
      </c>
      <c r="K74" s="88">
        <v>10962.42</v>
      </c>
      <c r="L74" s="105"/>
      <c r="M74" s="105"/>
      <c r="N74" s="103" t="s">
        <v>280</v>
      </c>
      <c r="O74" s="102">
        <v>3000</v>
      </c>
      <c r="P74" s="105"/>
      <c r="Q74" s="102"/>
      <c r="R74" s="104">
        <v>1000</v>
      </c>
      <c r="S74" s="105"/>
      <c r="T74" s="105"/>
      <c r="U74" s="105"/>
      <c r="V74" s="105"/>
      <c r="W74" s="105"/>
      <c r="X74" s="103" t="s">
        <v>280</v>
      </c>
      <c r="Y74" s="103" t="s">
        <v>280</v>
      </c>
      <c r="Z74" s="88"/>
      <c r="AA74" s="88" t="s">
        <v>280</v>
      </c>
      <c r="AB74" s="105"/>
      <c r="AC74" s="88">
        <v>3658.6</v>
      </c>
      <c r="AD74" s="105"/>
      <c r="AE74" s="105"/>
      <c r="AF74" s="105"/>
      <c r="AG74" s="105"/>
      <c r="AH74" s="88">
        <v>7787.04</v>
      </c>
      <c r="AI74" s="101" t="s">
        <v>280</v>
      </c>
      <c r="AJ74" s="105"/>
      <c r="AK74" s="88">
        <v>87699.36</v>
      </c>
    </row>
    <row r="75" spans="2:37" ht="15.75" customHeight="1">
      <c r="B75" s="5">
        <v>61</v>
      </c>
      <c r="C75" s="84" t="s">
        <v>412</v>
      </c>
      <c r="D75" s="84" t="s">
        <v>227</v>
      </c>
      <c r="E75" s="84" t="s">
        <v>228</v>
      </c>
      <c r="F75" s="84" t="s">
        <v>253</v>
      </c>
      <c r="G75" s="84" t="s">
        <v>214</v>
      </c>
      <c r="H75" s="111">
        <v>438.16</v>
      </c>
      <c r="I75" s="84" t="s">
        <v>277</v>
      </c>
      <c r="J75" s="84" t="s">
        <v>278</v>
      </c>
      <c r="K75" s="88">
        <v>11392.24</v>
      </c>
      <c r="L75" s="105"/>
      <c r="M75" s="105"/>
      <c r="N75" s="103" t="s">
        <v>280</v>
      </c>
      <c r="O75" s="102">
        <v>3000</v>
      </c>
      <c r="P75" s="105"/>
      <c r="Q75" s="102"/>
      <c r="R75" s="104">
        <v>1000</v>
      </c>
      <c r="S75" s="105"/>
      <c r="T75" s="105"/>
      <c r="U75" s="105"/>
      <c r="V75" s="105"/>
      <c r="W75" s="105"/>
      <c r="X75" s="103" t="s">
        <v>280</v>
      </c>
      <c r="Y75" s="103" t="s">
        <v>280</v>
      </c>
      <c r="Z75" s="88"/>
      <c r="AA75" s="88" t="s">
        <v>280</v>
      </c>
      <c r="AB75" s="105"/>
      <c r="AC75" s="88">
        <v>4256.3</v>
      </c>
      <c r="AD75" s="105"/>
      <c r="AE75" s="105"/>
      <c r="AF75" s="105"/>
      <c r="AG75" s="105"/>
      <c r="AH75" s="88">
        <v>9526.5</v>
      </c>
      <c r="AI75" s="101" t="s">
        <v>280</v>
      </c>
      <c r="AJ75" s="105"/>
      <c r="AK75" s="88">
        <v>68353.440000000002</v>
      </c>
    </row>
    <row r="76" spans="2:37" ht="15.75" customHeight="1">
      <c r="B76" s="5">
        <v>62</v>
      </c>
      <c r="C76" s="84" t="s">
        <v>413</v>
      </c>
      <c r="D76" s="84" t="s">
        <v>256</v>
      </c>
      <c r="E76" s="84" t="s">
        <v>211</v>
      </c>
      <c r="F76" s="84" t="s">
        <v>246</v>
      </c>
      <c r="G76" s="84" t="s">
        <v>257</v>
      </c>
      <c r="H76" s="111">
        <v>570</v>
      </c>
      <c r="I76" s="84" t="s">
        <v>279</v>
      </c>
      <c r="J76" s="84" t="s">
        <v>279</v>
      </c>
      <c r="K76" s="88">
        <v>9880</v>
      </c>
      <c r="L76" s="105"/>
      <c r="M76" s="105"/>
      <c r="N76" s="103" t="s">
        <v>280</v>
      </c>
      <c r="O76" s="103" t="s">
        <v>280</v>
      </c>
      <c r="P76" s="105"/>
      <c r="Q76" s="103"/>
      <c r="R76" s="103" t="s">
        <v>280</v>
      </c>
      <c r="S76" s="105"/>
      <c r="T76" s="105"/>
      <c r="U76" s="105"/>
      <c r="V76" s="105"/>
      <c r="W76" s="105"/>
      <c r="X76" s="103" t="s">
        <v>280</v>
      </c>
      <c r="Y76" s="103" t="s">
        <v>280</v>
      </c>
      <c r="Z76" s="88"/>
      <c r="AA76" s="88">
        <v>5000</v>
      </c>
      <c r="AB76" s="105"/>
      <c r="AC76" s="103" t="s">
        <v>280</v>
      </c>
      <c r="AD76" s="105"/>
      <c r="AE76" s="105"/>
      <c r="AF76" s="105"/>
      <c r="AG76" s="105"/>
      <c r="AH76" s="103" t="s">
        <v>280</v>
      </c>
      <c r="AI76" s="101" t="s">
        <v>280</v>
      </c>
      <c r="AJ76" s="105"/>
      <c r="AK76" s="88">
        <v>118560</v>
      </c>
    </row>
    <row r="77" spans="2:37" ht="15.75" customHeight="1">
      <c r="B77" s="5">
        <v>63</v>
      </c>
      <c r="C77" s="84" t="s">
        <v>414</v>
      </c>
      <c r="D77" s="84" t="s">
        <v>256</v>
      </c>
      <c r="E77" s="84" t="s">
        <v>211</v>
      </c>
      <c r="F77" s="84" t="s">
        <v>246</v>
      </c>
      <c r="G77" s="84" t="s">
        <v>257</v>
      </c>
      <c r="H77" s="111">
        <v>570</v>
      </c>
      <c r="I77" s="84" t="s">
        <v>279</v>
      </c>
      <c r="J77" s="84" t="s">
        <v>279</v>
      </c>
      <c r="K77" s="88">
        <v>9880</v>
      </c>
      <c r="L77" s="105"/>
      <c r="M77" s="105"/>
      <c r="N77" s="103" t="s">
        <v>280</v>
      </c>
      <c r="O77" s="103" t="s">
        <v>280</v>
      </c>
      <c r="P77" s="105"/>
      <c r="Q77" s="103"/>
      <c r="R77" s="103" t="s">
        <v>280</v>
      </c>
      <c r="S77" s="105"/>
      <c r="T77" s="105"/>
      <c r="U77" s="105"/>
      <c r="V77" s="105"/>
      <c r="W77" s="105"/>
      <c r="X77" s="103" t="s">
        <v>280</v>
      </c>
      <c r="Y77" s="103" t="s">
        <v>280</v>
      </c>
      <c r="Z77" s="88"/>
      <c r="AA77" s="88">
        <v>3000</v>
      </c>
      <c r="AB77" s="105"/>
      <c r="AC77" s="103" t="s">
        <v>280</v>
      </c>
      <c r="AD77" s="105"/>
      <c r="AE77" s="105"/>
      <c r="AF77" s="105"/>
      <c r="AG77" s="105"/>
      <c r="AH77" s="103" t="s">
        <v>280</v>
      </c>
      <c r="AI77" s="101" t="s">
        <v>280</v>
      </c>
      <c r="AJ77" s="105"/>
      <c r="AK77" s="88">
        <v>118560</v>
      </c>
    </row>
    <row r="78" spans="2:37" ht="15.75" customHeight="1">
      <c r="B78" s="5">
        <v>64</v>
      </c>
      <c r="C78" s="84" t="s">
        <v>415</v>
      </c>
      <c r="D78" s="84" t="s">
        <v>256</v>
      </c>
      <c r="E78" s="84" t="s">
        <v>211</v>
      </c>
      <c r="F78" s="84" t="s">
        <v>246</v>
      </c>
      <c r="G78" s="84" t="s">
        <v>257</v>
      </c>
      <c r="H78" s="111">
        <v>570</v>
      </c>
      <c r="I78" s="84" t="s">
        <v>279</v>
      </c>
      <c r="J78" s="84" t="s">
        <v>279</v>
      </c>
      <c r="K78" s="88">
        <v>9880</v>
      </c>
      <c r="L78" s="105"/>
      <c r="M78" s="105"/>
      <c r="N78" s="103" t="s">
        <v>280</v>
      </c>
      <c r="O78" s="103" t="s">
        <v>280</v>
      </c>
      <c r="P78" s="105"/>
      <c r="Q78" s="103"/>
      <c r="R78" s="103" t="s">
        <v>280</v>
      </c>
      <c r="S78" s="105"/>
      <c r="T78" s="105"/>
      <c r="U78" s="105"/>
      <c r="V78" s="105"/>
      <c r="W78" s="105"/>
      <c r="X78" s="103" t="s">
        <v>280</v>
      </c>
      <c r="Y78" s="103" t="s">
        <v>280</v>
      </c>
      <c r="Z78" s="88"/>
      <c r="AA78" s="88">
        <v>3000</v>
      </c>
      <c r="AB78" s="105"/>
      <c r="AC78" s="103" t="s">
        <v>280</v>
      </c>
      <c r="AD78" s="105"/>
      <c r="AE78" s="105"/>
      <c r="AF78" s="105"/>
      <c r="AG78" s="105"/>
      <c r="AH78" s="103" t="s">
        <v>280</v>
      </c>
      <c r="AI78" s="101" t="s">
        <v>280</v>
      </c>
      <c r="AJ78" s="105"/>
      <c r="AK78" s="88">
        <v>118560</v>
      </c>
    </row>
    <row r="79" spans="2:37" ht="15.75" customHeight="1">
      <c r="B79" s="5">
        <v>65</v>
      </c>
      <c r="C79" s="84" t="s">
        <v>416</v>
      </c>
      <c r="D79" s="84" t="s">
        <v>258</v>
      </c>
      <c r="E79" s="84" t="s">
        <v>221</v>
      </c>
      <c r="F79" s="84" t="s">
        <v>246</v>
      </c>
      <c r="G79" s="84" t="s">
        <v>257</v>
      </c>
      <c r="H79" s="111">
        <v>300</v>
      </c>
      <c r="I79" s="84" t="s">
        <v>279</v>
      </c>
      <c r="J79" s="84" t="s">
        <v>279</v>
      </c>
      <c r="K79" s="88">
        <v>7800</v>
      </c>
      <c r="L79" s="105"/>
      <c r="M79" s="105"/>
      <c r="N79" s="103" t="s">
        <v>280</v>
      </c>
      <c r="O79" s="103" t="s">
        <v>280</v>
      </c>
      <c r="P79" s="105"/>
      <c r="Q79" s="103"/>
      <c r="R79" s="103" t="s">
        <v>280</v>
      </c>
      <c r="S79" s="105"/>
      <c r="T79" s="105"/>
      <c r="U79" s="105"/>
      <c r="V79" s="105"/>
      <c r="W79" s="105"/>
      <c r="X79" s="103" t="s">
        <v>280</v>
      </c>
      <c r="Y79" s="103" t="s">
        <v>280</v>
      </c>
      <c r="Z79" s="88"/>
      <c r="AA79" s="88">
        <v>5000</v>
      </c>
      <c r="AB79" s="105"/>
      <c r="AC79" s="103" t="s">
        <v>280</v>
      </c>
      <c r="AD79" s="105"/>
      <c r="AE79" s="105"/>
      <c r="AF79" s="105"/>
      <c r="AG79" s="105"/>
      <c r="AH79" s="103" t="s">
        <v>280</v>
      </c>
      <c r="AI79" s="101" t="s">
        <v>280</v>
      </c>
      <c r="AJ79" s="105"/>
      <c r="AK79" s="88">
        <v>93600</v>
      </c>
    </row>
    <row r="80" spans="2:37" ht="15.75" customHeight="1">
      <c r="B80" s="5">
        <v>66</v>
      </c>
      <c r="C80" s="84" t="s">
        <v>417</v>
      </c>
      <c r="D80" s="84" t="s">
        <v>258</v>
      </c>
      <c r="E80" s="84" t="s">
        <v>221</v>
      </c>
      <c r="F80" s="84" t="s">
        <v>246</v>
      </c>
      <c r="G80" s="84" t="s">
        <v>257</v>
      </c>
      <c r="H80" s="111">
        <v>300</v>
      </c>
      <c r="I80" s="84" t="s">
        <v>279</v>
      </c>
      <c r="J80" s="84" t="s">
        <v>279</v>
      </c>
      <c r="K80" s="88">
        <v>7800</v>
      </c>
      <c r="L80" s="105"/>
      <c r="M80" s="105"/>
      <c r="N80" s="103" t="s">
        <v>280</v>
      </c>
      <c r="O80" s="103" t="s">
        <v>280</v>
      </c>
      <c r="P80" s="105"/>
      <c r="Q80" s="103"/>
      <c r="R80" s="103" t="s">
        <v>280</v>
      </c>
      <c r="S80" s="105"/>
      <c r="T80" s="105"/>
      <c r="U80" s="105"/>
      <c r="V80" s="105"/>
      <c r="W80" s="105"/>
      <c r="X80" s="103" t="s">
        <v>280</v>
      </c>
      <c r="Y80" s="103" t="s">
        <v>280</v>
      </c>
      <c r="Z80" s="88"/>
      <c r="AA80" s="88">
        <v>5000</v>
      </c>
      <c r="AB80" s="105"/>
      <c r="AC80" s="103" t="s">
        <v>280</v>
      </c>
      <c r="AD80" s="105"/>
      <c r="AE80" s="105"/>
      <c r="AF80" s="105"/>
      <c r="AG80" s="105"/>
      <c r="AH80" s="103" t="s">
        <v>280</v>
      </c>
      <c r="AI80" s="101" t="s">
        <v>280</v>
      </c>
      <c r="AJ80" s="105"/>
      <c r="AK80" s="88">
        <v>93600</v>
      </c>
    </row>
    <row r="81" spans="2:37" ht="15.75" customHeight="1">
      <c r="B81" s="5">
        <v>67</v>
      </c>
      <c r="C81" s="84" t="s">
        <v>418</v>
      </c>
      <c r="D81" s="84" t="s">
        <v>258</v>
      </c>
      <c r="E81" s="84" t="s">
        <v>221</v>
      </c>
      <c r="F81" s="84" t="s">
        <v>246</v>
      </c>
      <c r="G81" s="84" t="s">
        <v>257</v>
      </c>
      <c r="H81" s="111">
        <v>300</v>
      </c>
      <c r="I81" s="84" t="s">
        <v>279</v>
      </c>
      <c r="J81" s="84" t="s">
        <v>279</v>
      </c>
      <c r="K81" s="88">
        <v>7800</v>
      </c>
      <c r="L81" s="105"/>
      <c r="M81" s="105"/>
      <c r="N81" s="103" t="s">
        <v>280</v>
      </c>
      <c r="O81" s="103" t="s">
        <v>280</v>
      </c>
      <c r="P81" s="105"/>
      <c r="Q81" s="103"/>
      <c r="R81" s="103" t="s">
        <v>280</v>
      </c>
      <c r="S81" s="105"/>
      <c r="T81" s="105"/>
      <c r="U81" s="105"/>
      <c r="V81" s="105"/>
      <c r="W81" s="105"/>
      <c r="X81" s="103" t="s">
        <v>280</v>
      </c>
      <c r="Y81" s="103" t="s">
        <v>280</v>
      </c>
      <c r="Z81" s="88"/>
      <c r="AA81" s="88">
        <v>5000</v>
      </c>
      <c r="AB81" s="105"/>
      <c r="AC81" s="103" t="s">
        <v>280</v>
      </c>
      <c r="AD81" s="105"/>
      <c r="AE81" s="105"/>
      <c r="AF81" s="105"/>
      <c r="AG81" s="105"/>
      <c r="AH81" s="103" t="s">
        <v>280</v>
      </c>
      <c r="AI81" s="101" t="s">
        <v>280</v>
      </c>
      <c r="AJ81" s="105"/>
      <c r="AK81" s="88">
        <v>93600</v>
      </c>
    </row>
    <row r="82" spans="2:37" ht="15.75" customHeight="1">
      <c r="B82" s="5">
        <v>68</v>
      </c>
      <c r="C82" s="84" t="s">
        <v>419</v>
      </c>
      <c r="D82" s="84" t="s">
        <v>258</v>
      </c>
      <c r="E82" s="84" t="s">
        <v>221</v>
      </c>
      <c r="F82" s="84" t="s">
        <v>246</v>
      </c>
      <c r="G82" s="84" t="s">
        <v>257</v>
      </c>
      <c r="H82" s="111">
        <v>300</v>
      </c>
      <c r="I82" s="84" t="s">
        <v>279</v>
      </c>
      <c r="J82" s="84" t="s">
        <v>279</v>
      </c>
      <c r="K82" s="88">
        <v>7800</v>
      </c>
      <c r="L82" s="105"/>
      <c r="M82" s="105"/>
      <c r="N82" s="103" t="s">
        <v>280</v>
      </c>
      <c r="O82" s="103" t="s">
        <v>280</v>
      </c>
      <c r="P82" s="105"/>
      <c r="Q82" s="103"/>
      <c r="R82" s="103" t="s">
        <v>280</v>
      </c>
      <c r="S82" s="105"/>
      <c r="T82" s="105"/>
      <c r="U82" s="105"/>
      <c r="V82" s="105"/>
      <c r="W82" s="105"/>
      <c r="X82" s="103" t="s">
        <v>280</v>
      </c>
      <c r="Y82" s="103" t="s">
        <v>280</v>
      </c>
      <c r="Z82" s="88"/>
      <c r="AA82" s="88">
        <v>5000</v>
      </c>
      <c r="AB82" s="105"/>
      <c r="AC82" s="103" t="s">
        <v>280</v>
      </c>
      <c r="AD82" s="105"/>
      <c r="AE82" s="105"/>
      <c r="AF82" s="105"/>
      <c r="AG82" s="105"/>
      <c r="AH82" s="103" t="s">
        <v>280</v>
      </c>
      <c r="AI82" s="101" t="s">
        <v>280</v>
      </c>
      <c r="AJ82" s="105"/>
      <c r="AK82" s="88">
        <v>93600</v>
      </c>
    </row>
    <row r="83" spans="2:37" ht="15.75" customHeight="1">
      <c r="B83" s="5">
        <v>69</v>
      </c>
      <c r="C83" s="84" t="s">
        <v>420</v>
      </c>
      <c r="D83" s="84" t="s">
        <v>259</v>
      </c>
      <c r="E83" s="84" t="s">
        <v>221</v>
      </c>
      <c r="F83" s="84" t="s">
        <v>246</v>
      </c>
      <c r="G83" s="84" t="s">
        <v>257</v>
      </c>
      <c r="H83" s="111">
        <v>300</v>
      </c>
      <c r="I83" s="84" t="s">
        <v>279</v>
      </c>
      <c r="J83" s="84" t="s">
        <v>279</v>
      </c>
      <c r="K83" s="88">
        <v>7800</v>
      </c>
      <c r="L83" s="105"/>
      <c r="M83" s="105"/>
      <c r="N83" s="103" t="s">
        <v>280</v>
      </c>
      <c r="O83" s="103" t="s">
        <v>280</v>
      </c>
      <c r="P83" s="105"/>
      <c r="Q83" s="103"/>
      <c r="R83" s="103" t="s">
        <v>280</v>
      </c>
      <c r="S83" s="105"/>
      <c r="T83" s="105"/>
      <c r="U83" s="105"/>
      <c r="V83" s="105"/>
      <c r="W83" s="105"/>
      <c r="X83" s="103" t="s">
        <v>280</v>
      </c>
      <c r="Y83" s="103" t="s">
        <v>280</v>
      </c>
      <c r="Z83" s="88"/>
      <c r="AA83" s="88">
        <v>2000</v>
      </c>
      <c r="AB83" s="105"/>
      <c r="AC83" s="103" t="s">
        <v>280</v>
      </c>
      <c r="AD83" s="105"/>
      <c r="AE83" s="105"/>
      <c r="AF83" s="105"/>
      <c r="AG83" s="105"/>
      <c r="AH83" s="103" t="s">
        <v>280</v>
      </c>
      <c r="AI83" s="101" t="s">
        <v>280</v>
      </c>
      <c r="AJ83" s="105"/>
      <c r="AK83" s="88">
        <v>23400</v>
      </c>
    </row>
    <row r="84" spans="2:37" ht="15.75" customHeight="1">
      <c r="B84" s="5">
        <v>70</v>
      </c>
      <c r="C84" s="86" t="s">
        <v>421</v>
      </c>
      <c r="D84" s="86" t="s">
        <v>260</v>
      </c>
      <c r="E84" s="86" t="s">
        <v>217</v>
      </c>
      <c r="F84" s="86" t="s">
        <v>213</v>
      </c>
      <c r="G84" s="86" t="s">
        <v>214</v>
      </c>
      <c r="H84" s="112">
        <v>961.53</v>
      </c>
      <c r="I84" s="86" t="s">
        <v>266</v>
      </c>
      <c r="J84" s="84" t="s">
        <v>267</v>
      </c>
      <c r="K84" s="106">
        <v>25000</v>
      </c>
      <c r="L84" s="105"/>
      <c r="M84" s="105"/>
      <c r="N84" s="103" t="s">
        <v>280</v>
      </c>
      <c r="O84" s="103" t="s">
        <v>280</v>
      </c>
      <c r="P84" s="105"/>
      <c r="Q84" s="103"/>
      <c r="R84" s="103" t="s">
        <v>280</v>
      </c>
      <c r="S84" s="105"/>
      <c r="T84" s="105"/>
      <c r="U84" s="105"/>
      <c r="V84" s="105"/>
      <c r="W84" s="105"/>
      <c r="X84" s="103" t="s">
        <v>280</v>
      </c>
      <c r="Y84" s="104">
        <v>25000</v>
      </c>
      <c r="Z84" s="88"/>
      <c r="AA84" s="88">
        <v>25000</v>
      </c>
      <c r="AB84" s="105"/>
      <c r="AC84" s="103" t="s">
        <v>280</v>
      </c>
      <c r="AD84" s="105"/>
      <c r="AE84" s="105"/>
      <c r="AF84" s="105"/>
      <c r="AG84" s="105"/>
      <c r="AH84" s="103" t="s">
        <v>280</v>
      </c>
      <c r="AI84" s="101" t="s">
        <v>280</v>
      </c>
      <c r="AJ84" s="105"/>
      <c r="AK84" s="88">
        <v>300000</v>
      </c>
    </row>
    <row r="85" spans="2:37" ht="15.75" customHeight="1">
      <c r="B85" s="5">
        <v>71</v>
      </c>
      <c r="C85" s="86" t="s">
        <v>422</v>
      </c>
      <c r="D85" s="86" t="s">
        <v>261</v>
      </c>
      <c r="E85" s="86" t="s">
        <v>221</v>
      </c>
      <c r="F85" s="86" t="s">
        <v>213</v>
      </c>
      <c r="G85" s="86" t="s">
        <v>262</v>
      </c>
      <c r="H85" s="112">
        <v>423.08</v>
      </c>
      <c r="I85" s="86" t="s">
        <v>266</v>
      </c>
      <c r="J85" s="86" t="s">
        <v>267</v>
      </c>
      <c r="K85" s="106">
        <v>11000.08</v>
      </c>
      <c r="L85" s="105"/>
      <c r="M85" s="105"/>
      <c r="N85" s="103" t="s">
        <v>280</v>
      </c>
      <c r="O85" s="103" t="s">
        <v>280</v>
      </c>
      <c r="P85" s="105"/>
      <c r="Q85" s="103"/>
      <c r="R85" s="104">
        <v>1000</v>
      </c>
      <c r="S85" s="105"/>
      <c r="T85" s="105"/>
      <c r="U85" s="105"/>
      <c r="V85" s="105"/>
      <c r="W85" s="105"/>
      <c r="X85" s="107" t="s">
        <v>280</v>
      </c>
      <c r="Y85" s="104">
        <v>11000</v>
      </c>
      <c r="Z85" s="88"/>
      <c r="AA85" s="88">
        <v>6000</v>
      </c>
      <c r="AB85" s="105"/>
      <c r="AC85" s="103" t="s">
        <v>280</v>
      </c>
      <c r="AD85" s="105"/>
      <c r="AE85" s="105"/>
      <c r="AF85" s="105"/>
      <c r="AG85" s="105"/>
      <c r="AH85" s="103" t="s">
        <v>280</v>
      </c>
      <c r="AI85" s="101" t="s">
        <v>280</v>
      </c>
      <c r="AJ85" s="105"/>
      <c r="AK85" s="88">
        <v>132000.95999999999</v>
      </c>
    </row>
    <row r="86" spans="2:37" ht="15.75" customHeight="1">
      <c r="B86" s="5">
        <v>72</v>
      </c>
      <c r="C86" s="86" t="s">
        <v>423</v>
      </c>
      <c r="D86" s="86" t="s">
        <v>263</v>
      </c>
      <c r="E86" s="86" t="s">
        <v>221</v>
      </c>
      <c r="F86" s="86" t="s">
        <v>246</v>
      </c>
      <c r="G86" s="86" t="s">
        <v>262</v>
      </c>
      <c r="H86" s="103" t="s">
        <v>280</v>
      </c>
      <c r="I86" s="84" t="s">
        <v>279</v>
      </c>
      <c r="J86" s="84" t="s">
        <v>279</v>
      </c>
      <c r="K86" s="88">
        <v>8500</v>
      </c>
      <c r="L86" s="105"/>
      <c r="M86" s="105"/>
      <c r="N86" s="103" t="s">
        <v>280</v>
      </c>
      <c r="O86" s="103" t="s">
        <v>280</v>
      </c>
      <c r="P86" s="105"/>
      <c r="Q86" s="103"/>
      <c r="R86" s="103" t="s">
        <v>280</v>
      </c>
      <c r="S86" s="105"/>
      <c r="T86" s="105"/>
      <c r="U86" s="105"/>
      <c r="V86" s="105"/>
      <c r="W86" s="105"/>
      <c r="X86" s="103" t="s">
        <v>280</v>
      </c>
      <c r="Y86" s="104">
        <v>8500</v>
      </c>
      <c r="Z86" s="88"/>
      <c r="AA86" s="88">
        <v>6000</v>
      </c>
      <c r="AB86" s="105"/>
      <c r="AC86" s="103" t="s">
        <v>280</v>
      </c>
      <c r="AD86" s="105"/>
      <c r="AE86" s="105"/>
      <c r="AF86" s="105"/>
      <c r="AG86" s="105"/>
      <c r="AH86" s="103" t="s">
        <v>280</v>
      </c>
      <c r="AI86" s="101" t="s">
        <v>280</v>
      </c>
      <c r="AJ86" s="105"/>
      <c r="AK86" s="88">
        <v>102000</v>
      </c>
    </row>
    <row r="87" spans="2:37" ht="15.75" customHeight="1">
      <c r="B87" s="5">
        <v>73</v>
      </c>
      <c r="C87" s="86" t="s">
        <v>424</v>
      </c>
      <c r="D87" s="86" t="s">
        <v>264</v>
      </c>
      <c r="E87" s="86" t="s">
        <v>211</v>
      </c>
      <c r="F87" s="86" t="s">
        <v>246</v>
      </c>
      <c r="G87" s="86" t="s">
        <v>262</v>
      </c>
      <c r="H87" s="103" t="s">
        <v>280</v>
      </c>
      <c r="I87" s="86" t="s">
        <v>279</v>
      </c>
      <c r="J87" s="86" t="s">
        <v>279</v>
      </c>
      <c r="K87" s="88">
        <v>5000</v>
      </c>
      <c r="L87" s="105"/>
      <c r="M87" s="105"/>
      <c r="N87" s="103" t="s">
        <v>280</v>
      </c>
      <c r="O87" s="103" t="s">
        <v>280</v>
      </c>
      <c r="P87" s="105"/>
      <c r="Q87" s="103"/>
      <c r="R87" s="103" t="s">
        <v>280</v>
      </c>
      <c r="S87" s="105"/>
      <c r="T87" s="105"/>
      <c r="U87" s="105"/>
      <c r="V87" s="105"/>
      <c r="W87" s="105"/>
      <c r="X87" s="103" t="s">
        <v>280</v>
      </c>
      <c r="Y87" s="103" t="s">
        <v>280</v>
      </c>
      <c r="Z87" s="88"/>
      <c r="AA87" s="88">
        <v>5000</v>
      </c>
      <c r="AB87" s="105"/>
      <c r="AC87" s="103" t="s">
        <v>280</v>
      </c>
      <c r="AD87" s="105"/>
      <c r="AE87" s="105"/>
      <c r="AF87" s="105"/>
      <c r="AG87" s="105"/>
      <c r="AH87" s="103" t="s">
        <v>280</v>
      </c>
      <c r="AI87" s="101" t="s">
        <v>280</v>
      </c>
      <c r="AJ87" s="105"/>
      <c r="AK87" s="88">
        <v>60000</v>
      </c>
    </row>
    <row r="88" spans="2:37" ht="15.75" customHeight="1">
      <c r="B88" s="5">
        <v>74</v>
      </c>
      <c r="C88" s="86" t="s">
        <v>425</v>
      </c>
      <c r="D88" s="86" t="s">
        <v>265</v>
      </c>
      <c r="E88" s="84" t="s">
        <v>217</v>
      </c>
      <c r="F88" s="86" t="s">
        <v>246</v>
      </c>
      <c r="G88" s="86" t="s">
        <v>262</v>
      </c>
      <c r="H88" s="103" t="s">
        <v>280</v>
      </c>
      <c r="I88" s="86" t="s">
        <v>279</v>
      </c>
      <c r="J88" s="86" t="s">
        <v>279</v>
      </c>
      <c r="K88" s="88">
        <v>3000</v>
      </c>
      <c r="L88" s="105"/>
      <c r="M88" s="105"/>
      <c r="N88" s="103" t="s">
        <v>280</v>
      </c>
      <c r="O88" s="103" t="s">
        <v>280</v>
      </c>
      <c r="P88" s="105"/>
      <c r="Q88" s="103"/>
      <c r="R88" s="103" t="s">
        <v>280</v>
      </c>
      <c r="S88" s="105"/>
      <c r="T88" s="105"/>
      <c r="U88" s="105"/>
      <c r="V88" s="105"/>
      <c r="W88" s="105"/>
      <c r="X88" s="103" t="s">
        <v>280</v>
      </c>
      <c r="Y88" s="103" t="s">
        <v>280</v>
      </c>
      <c r="Z88" s="88"/>
      <c r="AA88" s="88">
        <v>3000</v>
      </c>
      <c r="AB88" s="105"/>
      <c r="AC88" s="103" t="s">
        <v>280</v>
      </c>
      <c r="AD88" s="105"/>
      <c r="AE88" s="105"/>
      <c r="AF88" s="105"/>
      <c r="AG88" s="105"/>
      <c r="AH88" s="103" t="s">
        <v>280</v>
      </c>
      <c r="AI88" s="103" t="s">
        <v>280</v>
      </c>
      <c r="AJ88" s="105"/>
      <c r="AK88" s="88">
        <v>36000</v>
      </c>
    </row>
    <row r="89" spans="2:37" ht="15.75" customHeight="1">
      <c r="B89" s="85">
        <v>75</v>
      </c>
      <c r="C89" s="86" t="s">
        <v>282</v>
      </c>
      <c r="D89" s="86" t="s">
        <v>283</v>
      </c>
      <c r="E89" s="86" t="s">
        <v>211</v>
      </c>
      <c r="F89" s="86" t="s">
        <v>245</v>
      </c>
      <c r="G89" s="86" t="s">
        <v>246</v>
      </c>
      <c r="H89" s="107" t="s">
        <v>280</v>
      </c>
      <c r="I89" s="83" t="s">
        <v>280</v>
      </c>
      <c r="J89" s="83" t="s">
        <v>280</v>
      </c>
      <c r="K89" s="103" t="s">
        <v>280</v>
      </c>
      <c r="L89" s="105"/>
      <c r="M89" s="105"/>
      <c r="N89" s="103" t="s">
        <v>280</v>
      </c>
      <c r="O89" s="103" t="s">
        <v>280</v>
      </c>
      <c r="P89" s="105"/>
      <c r="Q89" s="105"/>
      <c r="R89" s="103" t="s">
        <v>280</v>
      </c>
      <c r="S89" s="105"/>
      <c r="T89" s="105"/>
      <c r="U89" s="105"/>
      <c r="V89" s="105"/>
      <c r="W89" s="105"/>
      <c r="X89" s="103" t="s">
        <v>280</v>
      </c>
      <c r="Y89" s="103" t="s">
        <v>280</v>
      </c>
      <c r="Z89" s="105"/>
      <c r="AA89" s="103" t="s">
        <v>280</v>
      </c>
      <c r="AB89" s="105"/>
      <c r="AC89" s="103" t="s">
        <v>280</v>
      </c>
      <c r="AD89" s="105"/>
      <c r="AE89" s="105"/>
      <c r="AF89" s="105"/>
      <c r="AG89" s="105"/>
      <c r="AH89" s="103" t="s">
        <v>280</v>
      </c>
      <c r="AI89" s="103" t="s">
        <v>280</v>
      </c>
      <c r="AJ89" s="105"/>
      <c r="AK89" s="103" t="s">
        <v>280</v>
      </c>
    </row>
    <row r="90" spans="2:37" ht="15.75" customHeight="1">
      <c r="B90" s="85">
        <v>76</v>
      </c>
      <c r="C90" s="86" t="s">
        <v>284</v>
      </c>
      <c r="D90" s="86" t="s">
        <v>283</v>
      </c>
      <c r="E90" s="86" t="s">
        <v>211</v>
      </c>
      <c r="F90" s="86" t="s">
        <v>245</v>
      </c>
      <c r="G90" s="86" t="s">
        <v>246</v>
      </c>
      <c r="H90" s="107" t="s">
        <v>280</v>
      </c>
      <c r="I90" s="83" t="s">
        <v>280</v>
      </c>
      <c r="J90" s="83" t="s">
        <v>280</v>
      </c>
      <c r="K90" s="103" t="s">
        <v>280</v>
      </c>
      <c r="L90" s="105"/>
      <c r="M90" s="105"/>
      <c r="N90" s="103" t="s">
        <v>280</v>
      </c>
      <c r="O90" s="103" t="s">
        <v>280</v>
      </c>
      <c r="P90" s="105"/>
      <c r="Q90" s="105"/>
      <c r="R90" s="103" t="s">
        <v>280</v>
      </c>
      <c r="S90" s="105"/>
      <c r="T90" s="105"/>
      <c r="U90" s="105"/>
      <c r="V90" s="105"/>
      <c r="W90" s="105"/>
      <c r="X90" s="103" t="s">
        <v>280</v>
      </c>
      <c r="Y90" s="103" t="s">
        <v>280</v>
      </c>
      <c r="Z90" s="105"/>
      <c r="AA90" s="103" t="s">
        <v>280</v>
      </c>
      <c r="AB90" s="105"/>
      <c r="AC90" s="103" t="s">
        <v>280</v>
      </c>
      <c r="AD90" s="105"/>
      <c r="AE90" s="105"/>
      <c r="AF90" s="105"/>
      <c r="AG90" s="105"/>
      <c r="AH90" s="103" t="s">
        <v>280</v>
      </c>
      <c r="AI90" s="103" t="s">
        <v>280</v>
      </c>
      <c r="AJ90" s="105"/>
      <c r="AK90" s="103" t="s">
        <v>280</v>
      </c>
    </row>
    <row r="91" spans="2:37" ht="15.75" customHeight="1">
      <c r="B91" s="85">
        <v>77</v>
      </c>
      <c r="C91" s="86" t="s">
        <v>285</v>
      </c>
      <c r="D91" s="86" t="s">
        <v>286</v>
      </c>
      <c r="E91" s="86" t="s">
        <v>211</v>
      </c>
      <c r="F91" s="86" t="s">
        <v>245</v>
      </c>
      <c r="G91" s="86" t="s">
        <v>246</v>
      </c>
      <c r="H91" s="107" t="s">
        <v>280</v>
      </c>
      <c r="I91" s="83" t="s">
        <v>280</v>
      </c>
      <c r="J91" s="83" t="s">
        <v>280</v>
      </c>
      <c r="K91" s="103" t="s">
        <v>280</v>
      </c>
      <c r="L91" s="105"/>
      <c r="M91" s="105"/>
      <c r="N91" s="103" t="s">
        <v>280</v>
      </c>
      <c r="O91" s="103" t="s">
        <v>280</v>
      </c>
      <c r="P91" s="105"/>
      <c r="Q91" s="105"/>
      <c r="R91" s="103" t="s">
        <v>280</v>
      </c>
      <c r="S91" s="105"/>
      <c r="T91" s="105"/>
      <c r="U91" s="105"/>
      <c r="V91" s="105"/>
      <c r="W91" s="105"/>
      <c r="X91" s="103" t="s">
        <v>280</v>
      </c>
      <c r="Y91" s="103" t="s">
        <v>280</v>
      </c>
      <c r="Z91" s="105"/>
      <c r="AA91" s="103" t="s">
        <v>280</v>
      </c>
      <c r="AB91" s="105"/>
      <c r="AC91" s="103" t="s">
        <v>280</v>
      </c>
      <c r="AD91" s="105"/>
      <c r="AE91" s="105"/>
      <c r="AF91" s="105"/>
      <c r="AG91" s="105"/>
      <c r="AH91" s="103" t="s">
        <v>280</v>
      </c>
      <c r="AI91" s="103" t="s">
        <v>280</v>
      </c>
      <c r="AJ91" s="105"/>
      <c r="AK91" s="103" t="s">
        <v>280</v>
      </c>
    </row>
    <row r="92" spans="2:37" ht="15.75" customHeight="1">
      <c r="B92" s="85">
        <v>78</v>
      </c>
      <c r="C92" s="86" t="s">
        <v>287</v>
      </c>
      <c r="D92" s="86" t="s">
        <v>286</v>
      </c>
      <c r="E92" s="86" t="s">
        <v>211</v>
      </c>
      <c r="F92" s="86" t="s">
        <v>245</v>
      </c>
      <c r="G92" s="86" t="s">
        <v>246</v>
      </c>
      <c r="H92" s="107" t="s">
        <v>280</v>
      </c>
      <c r="I92" s="83" t="s">
        <v>280</v>
      </c>
      <c r="J92" s="83" t="s">
        <v>280</v>
      </c>
      <c r="K92" s="103" t="s">
        <v>280</v>
      </c>
      <c r="L92" s="105"/>
      <c r="M92" s="105"/>
      <c r="N92" s="103" t="s">
        <v>280</v>
      </c>
      <c r="O92" s="103" t="s">
        <v>280</v>
      </c>
      <c r="P92" s="105"/>
      <c r="Q92" s="105"/>
      <c r="R92" s="103" t="s">
        <v>280</v>
      </c>
      <c r="S92" s="105"/>
      <c r="T92" s="105"/>
      <c r="U92" s="105"/>
      <c r="V92" s="105"/>
      <c r="W92" s="105"/>
      <c r="X92" s="103" t="s">
        <v>280</v>
      </c>
      <c r="Y92" s="103" t="s">
        <v>280</v>
      </c>
      <c r="Z92" s="105"/>
      <c r="AA92" s="103" t="s">
        <v>280</v>
      </c>
      <c r="AB92" s="105"/>
      <c r="AC92" s="103" t="s">
        <v>280</v>
      </c>
      <c r="AD92" s="105"/>
      <c r="AE92" s="105"/>
      <c r="AF92" s="105"/>
      <c r="AG92" s="105"/>
      <c r="AH92" s="103" t="s">
        <v>280</v>
      </c>
      <c r="AI92" s="103" t="s">
        <v>280</v>
      </c>
      <c r="AJ92" s="105"/>
      <c r="AK92" s="103" t="s">
        <v>280</v>
      </c>
    </row>
    <row r="93" spans="2:37" ht="15.75" customHeight="1">
      <c r="B93" s="85">
        <v>79</v>
      </c>
      <c r="C93" s="86" t="s">
        <v>288</v>
      </c>
      <c r="D93" s="86" t="s">
        <v>289</v>
      </c>
      <c r="E93" s="86" t="s">
        <v>211</v>
      </c>
      <c r="F93" s="86" t="s">
        <v>245</v>
      </c>
      <c r="G93" s="86" t="s">
        <v>246</v>
      </c>
      <c r="H93" s="107" t="s">
        <v>280</v>
      </c>
      <c r="I93" s="83" t="s">
        <v>280</v>
      </c>
      <c r="J93" s="83" t="s">
        <v>280</v>
      </c>
      <c r="K93" s="103" t="s">
        <v>280</v>
      </c>
      <c r="L93" s="105"/>
      <c r="M93" s="105"/>
      <c r="N93" s="103" t="s">
        <v>280</v>
      </c>
      <c r="O93" s="103" t="s">
        <v>280</v>
      </c>
      <c r="P93" s="105"/>
      <c r="Q93" s="105"/>
      <c r="R93" s="103" t="s">
        <v>280</v>
      </c>
      <c r="S93" s="105"/>
      <c r="T93" s="105"/>
      <c r="U93" s="105"/>
      <c r="V93" s="105"/>
      <c r="W93" s="105"/>
      <c r="X93" s="103" t="s">
        <v>280</v>
      </c>
      <c r="Y93" s="103" t="s">
        <v>280</v>
      </c>
      <c r="Z93" s="105"/>
      <c r="AA93" s="103" t="s">
        <v>280</v>
      </c>
      <c r="AB93" s="105"/>
      <c r="AC93" s="103" t="s">
        <v>280</v>
      </c>
      <c r="AD93" s="105"/>
      <c r="AE93" s="105"/>
      <c r="AF93" s="105"/>
      <c r="AG93" s="105"/>
      <c r="AH93" s="103" t="s">
        <v>280</v>
      </c>
      <c r="AI93" s="103" t="s">
        <v>280</v>
      </c>
      <c r="AJ93" s="105"/>
      <c r="AK93" s="103" t="s">
        <v>280</v>
      </c>
    </row>
    <row r="94" spans="2:37" ht="15.75" customHeight="1">
      <c r="B94" s="85">
        <v>80</v>
      </c>
      <c r="C94" s="86" t="s">
        <v>290</v>
      </c>
      <c r="D94" s="86" t="s">
        <v>289</v>
      </c>
      <c r="E94" s="86" t="s">
        <v>211</v>
      </c>
      <c r="F94" s="86" t="s">
        <v>245</v>
      </c>
      <c r="G94" s="86" t="s">
        <v>246</v>
      </c>
      <c r="H94" s="107" t="s">
        <v>280</v>
      </c>
      <c r="I94" s="83" t="s">
        <v>280</v>
      </c>
      <c r="J94" s="83" t="s">
        <v>280</v>
      </c>
      <c r="K94" s="103" t="s">
        <v>280</v>
      </c>
      <c r="L94" s="105"/>
      <c r="M94" s="105"/>
      <c r="N94" s="103" t="s">
        <v>280</v>
      </c>
      <c r="O94" s="103" t="s">
        <v>280</v>
      </c>
      <c r="P94" s="105"/>
      <c r="Q94" s="105"/>
      <c r="R94" s="103" t="s">
        <v>280</v>
      </c>
      <c r="S94" s="105"/>
      <c r="T94" s="105"/>
      <c r="U94" s="105"/>
      <c r="V94" s="105"/>
      <c r="W94" s="105"/>
      <c r="X94" s="103" t="s">
        <v>280</v>
      </c>
      <c r="Y94" s="103" t="s">
        <v>280</v>
      </c>
      <c r="Z94" s="105"/>
      <c r="AA94" s="103" t="s">
        <v>280</v>
      </c>
      <c r="AB94" s="105"/>
      <c r="AC94" s="103" t="s">
        <v>280</v>
      </c>
      <c r="AD94" s="105"/>
      <c r="AE94" s="105"/>
      <c r="AF94" s="105"/>
      <c r="AG94" s="105"/>
      <c r="AH94" s="103" t="s">
        <v>280</v>
      </c>
      <c r="AI94" s="103" t="s">
        <v>280</v>
      </c>
      <c r="AJ94" s="105"/>
      <c r="AK94" s="103" t="s">
        <v>280</v>
      </c>
    </row>
    <row r="95" spans="2:37" ht="15.75" customHeight="1">
      <c r="B95" s="85">
        <v>81</v>
      </c>
      <c r="C95" s="86" t="s">
        <v>291</v>
      </c>
      <c r="D95" s="86" t="s">
        <v>292</v>
      </c>
      <c r="E95" s="86" t="s">
        <v>211</v>
      </c>
      <c r="F95" s="86" t="s">
        <v>245</v>
      </c>
      <c r="G95" s="86" t="s">
        <v>246</v>
      </c>
      <c r="H95" s="107" t="s">
        <v>280</v>
      </c>
      <c r="I95" s="83" t="s">
        <v>280</v>
      </c>
      <c r="J95" s="83" t="s">
        <v>280</v>
      </c>
      <c r="K95" s="103" t="s">
        <v>280</v>
      </c>
      <c r="L95" s="105"/>
      <c r="M95" s="105"/>
      <c r="N95" s="103" t="s">
        <v>280</v>
      </c>
      <c r="O95" s="103" t="s">
        <v>280</v>
      </c>
      <c r="P95" s="105"/>
      <c r="Q95" s="105"/>
      <c r="R95" s="103" t="s">
        <v>280</v>
      </c>
      <c r="S95" s="105"/>
      <c r="T95" s="105"/>
      <c r="U95" s="105"/>
      <c r="V95" s="105"/>
      <c r="W95" s="105"/>
      <c r="X95" s="103" t="s">
        <v>280</v>
      </c>
      <c r="Y95" s="103" t="s">
        <v>280</v>
      </c>
      <c r="Z95" s="105"/>
      <c r="AA95" s="103" t="s">
        <v>280</v>
      </c>
      <c r="AB95" s="105"/>
      <c r="AC95" s="103" t="s">
        <v>280</v>
      </c>
      <c r="AD95" s="105"/>
      <c r="AE95" s="105"/>
      <c r="AF95" s="105"/>
      <c r="AG95" s="105"/>
      <c r="AH95" s="103" t="s">
        <v>280</v>
      </c>
      <c r="AI95" s="103" t="s">
        <v>280</v>
      </c>
      <c r="AJ95" s="105"/>
      <c r="AK95" s="103" t="s">
        <v>280</v>
      </c>
    </row>
    <row r="96" spans="2:37" ht="15.75" customHeight="1">
      <c r="B96" s="85">
        <v>82</v>
      </c>
      <c r="C96" s="86" t="s">
        <v>293</v>
      </c>
      <c r="D96" s="86" t="s">
        <v>292</v>
      </c>
      <c r="E96" s="86" t="s">
        <v>211</v>
      </c>
      <c r="F96" s="86" t="s">
        <v>245</v>
      </c>
      <c r="G96" s="86" t="s">
        <v>246</v>
      </c>
      <c r="H96" s="107" t="s">
        <v>280</v>
      </c>
      <c r="I96" s="83" t="s">
        <v>280</v>
      </c>
      <c r="J96" s="83" t="s">
        <v>280</v>
      </c>
      <c r="K96" s="103" t="s">
        <v>280</v>
      </c>
      <c r="L96" s="105"/>
      <c r="M96" s="105"/>
      <c r="N96" s="103" t="s">
        <v>280</v>
      </c>
      <c r="O96" s="103" t="s">
        <v>280</v>
      </c>
      <c r="P96" s="105"/>
      <c r="Q96" s="105"/>
      <c r="R96" s="103" t="s">
        <v>280</v>
      </c>
      <c r="S96" s="105"/>
      <c r="T96" s="105"/>
      <c r="U96" s="105"/>
      <c r="V96" s="105"/>
      <c r="W96" s="105"/>
      <c r="X96" s="103" t="s">
        <v>280</v>
      </c>
      <c r="Y96" s="103" t="s">
        <v>280</v>
      </c>
      <c r="Z96" s="105"/>
      <c r="AA96" s="103" t="s">
        <v>280</v>
      </c>
      <c r="AB96" s="105"/>
      <c r="AC96" s="103" t="s">
        <v>280</v>
      </c>
      <c r="AD96" s="105"/>
      <c r="AE96" s="105"/>
      <c r="AF96" s="105"/>
      <c r="AG96" s="105"/>
      <c r="AH96" s="103" t="s">
        <v>280</v>
      </c>
      <c r="AI96" s="103" t="s">
        <v>280</v>
      </c>
      <c r="AJ96" s="105"/>
      <c r="AK96" s="103" t="s">
        <v>280</v>
      </c>
    </row>
    <row r="97" spans="2:37" ht="15.75" customHeight="1">
      <c r="B97" s="85">
        <v>83</v>
      </c>
      <c r="C97" s="86" t="s">
        <v>294</v>
      </c>
      <c r="D97" s="86" t="s">
        <v>295</v>
      </c>
      <c r="E97" s="86" t="s">
        <v>211</v>
      </c>
      <c r="F97" s="86" t="s">
        <v>245</v>
      </c>
      <c r="G97" s="86" t="s">
        <v>246</v>
      </c>
      <c r="H97" s="107" t="s">
        <v>280</v>
      </c>
      <c r="I97" s="83" t="s">
        <v>280</v>
      </c>
      <c r="J97" s="83" t="s">
        <v>280</v>
      </c>
      <c r="K97" s="103" t="s">
        <v>280</v>
      </c>
      <c r="L97" s="105"/>
      <c r="M97" s="105"/>
      <c r="N97" s="103" t="s">
        <v>280</v>
      </c>
      <c r="O97" s="103" t="s">
        <v>280</v>
      </c>
      <c r="P97" s="105"/>
      <c r="Q97" s="105"/>
      <c r="R97" s="103" t="s">
        <v>280</v>
      </c>
      <c r="S97" s="105"/>
      <c r="T97" s="105"/>
      <c r="U97" s="105"/>
      <c r="V97" s="105"/>
      <c r="W97" s="105"/>
      <c r="X97" s="103" t="s">
        <v>280</v>
      </c>
      <c r="Y97" s="103" t="s">
        <v>280</v>
      </c>
      <c r="Z97" s="105"/>
      <c r="AA97" s="103" t="s">
        <v>280</v>
      </c>
      <c r="AB97" s="105"/>
      <c r="AC97" s="103" t="s">
        <v>280</v>
      </c>
      <c r="AD97" s="105"/>
      <c r="AE97" s="105"/>
      <c r="AF97" s="105"/>
      <c r="AG97" s="105"/>
      <c r="AH97" s="103" t="s">
        <v>280</v>
      </c>
      <c r="AI97" s="103" t="s">
        <v>280</v>
      </c>
      <c r="AJ97" s="105"/>
      <c r="AK97" s="103" t="s">
        <v>280</v>
      </c>
    </row>
    <row r="98" spans="2:37" ht="15.75" customHeight="1">
      <c r="B98" s="85">
        <v>84</v>
      </c>
      <c r="C98" s="86" t="s">
        <v>296</v>
      </c>
      <c r="D98" s="86" t="s">
        <v>297</v>
      </c>
      <c r="E98" s="86" t="s">
        <v>211</v>
      </c>
      <c r="F98" s="86" t="s">
        <v>245</v>
      </c>
      <c r="G98" s="86" t="s">
        <v>246</v>
      </c>
      <c r="H98" s="107" t="s">
        <v>280</v>
      </c>
      <c r="I98" s="83" t="s">
        <v>280</v>
      </c>
      <c r="J98" s="83" t="s">
        <v>280</v>
      </c>
      <c r="K98" s="103" t="s">
        <v>280</v>
      </c>
      <c r="L98" s="105"/>
      <c r="M98" s="105"/>
      <c r="N98" s="103" t="s">
        <v>280</v>
      </c>
      <c r="O98" s="103" t="s">
        <v>280</v>
      </c>
      <c r="P98" s="105"/>
      <c r="Q98" s="105"/>
      <c r="R98" s="103" t="s">
        <v>280</v>
      </c>
      <c r="S98" s="105"/>
      <c r="T98" s="105"/>
      <c r="U98" s="105"/>
      <c r="V98" s="105"/>
      <c r="W98" s="105"/>
      <c r="X98" s="103" t="s">
        <v>280</v>
      </c>
      <c r="Y98" s="103" t="s">
        <v>280</v>
      </c>
      <c r="Z98" s="105"/>
      <c r="AA98" s="103" t="s">
        <v>280</v>
      </c>
      <c r="AB98" s="105"/>
      <c r="AC98" s="103" t="s">
        <v>280</v>
      </c>
      <c r="AD98" s="105"/>
      <c r="AE98" s="105"/>
      <c r="AF98" s="105"/>
      <c r="AG98" s="105"/>
      <c r="AH98" s="103" t="s">
        <v>280</v>
      </c>
      <c r="AI98" s="103" t="s">
        <v>280</v>
      </c>
      <c r="AJ98" s="105"/>
      <c r="AK98" s="103" t="s">
        <v>280</v>
      </c>
    </row>
    <row r="99" spans="2:37" ht="15.75" customHeight="1">
      <c r="B99" s="85">
        <v>85</v>
      </c>
      <c r="C99" s="86" t="s">
        <v>298</v>
      </c>
      <c r="D99" s="86" t="s">
        <v>299</v>
      </c>
      <c r="E99" s="86" t="s">
        <v>211</v>
      </c>
      <c r="F99" s="86" t="s">
        <v>245</v>
      </c>
      <c r="G99" s="86" t="s">
        <v>246</v>
      </c>
      <c r="H99" s="107" t="s">
        <v>280</v>
      </c>
      <c r="I99" s="83" t="s">
        <v>280</v>
      </c>
      <c r="J99" s="83" t="s">
        <v>280</v>
      </c>
      <c r="K99" s="103" t="s">
        <v>280</v>
      </c>
      <c r="L99" s="105"/>
      <c r="M99" s="105"/>
      <c r="N99" s="103" t="s">
        <v>280</v>
      </c>
      <c r="O99" s="103" t="s">
        <v>280</v>
      </c>
      <c r="P99" s="105"/>
      <c r="Q99" s="105"/>
      <c r="R99" s="103" t="s">
        <v>280</v>
      </c>
      <c r="S99" s="105"/>
      <c r="T99" s="105"/>
      <c r="U99" s="105"/>
      <c r="V99" s="105"/>
      <c r="W99" s="105"/>
      <c r="X99" s="103" t="s">
        <v>280</v>
      </c>
      <c r="Y99" s="103" t="s">
        <v>280</v>
      </c>
      <c r="Z99" s="105"/>
      <c r="AA99" s="103" t="s">
        <v>280</v>
      </c>
      <c r="AB99" s="105"/>
      <c r="AC99" s="103" t="s">
        <v>280</v>
      </c>
      <c r="AD99" s="105"/>
      <c r="AE99" s="105"/>
      <c r="AF99" s="105"/>
      <c r="AG99" s="105"/>
      <c r="AH99" s="103" t="s">
        <v>280</v>
      </c>
      <c r="AI99" s="103" t="s">
        <v>280</v>
      </c>
      <c r="AJ99" s="105"/>
      <c r="AK99" s="103" t="s">
        <v>280</v>
      </c>
    </row>
    <row r="100" spans="2:37" ht="15.75" customHeight="1">
      <c r="B100" s="85">
        <v>86</v>
      </c>
      <c r="C100" s="86" t="s">
        <v>300</v>
      </c>
      <c r="D100" s="86" t="s">
        <v>301</v>
      </c>
      <c r="E100" s="86" t="s">
        <v>211</v>
      </c>
      <c r="F100" s="86" t="s">
        <v>245</v>
      </c>
      <c r="G100" s="86" t="s">
        <v>246</v>
      </c>
      <c r="H100" s="107" t="s">
        <v>280</v>
      </c>
      <c r="I100" s="83" t="s">
        <v>280</v>
      </c>
      <c r="J100" s="83" t="s">
        <v>280</v>
      </c>
      <c r="K100" s="103" t="s">
        <v>280</v>
      </c>
      <c r="L100" s="105"/>
      <c r="M100" s="105"/>
      <c r="N100" s="103" t="s">
        <v>280</v>
      </c>
      <c r="O100" s="103" t="s">
        <v>280</v>
      </c>
      <c r="P100" s="105"/>
      <c r="Q100" s="105"/>
      <c r="R100" s="103" t="s">
        <v>280</v>
      </c>
      <c r="S100" s="105"/>
      <c r="T100" s="105"/>
      <c r="U100" s="105"/>
      <c r="V100" s="105"/>
      <c r="W100" s="105"/>
      <c r="X100" s="103" t="s">
        <v>280</v>
      </c>
      <c r="Y100" s="103" t="s">
        <v>280</v>
      </c>
      <c r="Z100" s="105"/>
      <c r="AA100" s="103" t="s">
        <v>280</v>
      </c>
      <c r="AB100" s="105"/>
      <c r="AC100" s="103" t="s">
        <v>280</v>
      </c>
      <c r="AD100" s="105"/>
      <c r="AE100" s="105"/>
      <c r="AF100" s="105"/>
      <c r="AG100" s="105"/>
      <c r="AH100" s="103" t="s">
        <v>280</v>
      </c>
      <c r="AI100" s="103" t="s">
        <v>280</v>
      </c>
      <c r="AJ100" s="105"/>
      <c r="AK100" s="103" t="s">
        <v>280</v>
      </c>
    </row>
    <row r="101" spans="2:37" ht="15.75" customHeight="1">
      <c r="B101" s="85">
        <v>87</v>
      </c>
      <c r="C101" s="86" t="s">
        <v>302</v>
      </c>
      <c r="D101" s="86" t="s">
        <v>301</v>
      </c>
      <c r="E101" s="86" t="s">
        <v>211</v>
      </c>
      <c r="F101" s="86" t="s">
        <v>245</v>
      </c>
      <c r="G101" s="86" t="s">
        <v>246</v>
      </c>
      <c r="H101" s="107" t="s">
        <v>280</v>
      </c>
      <c r="I101" s="83" t="s">
        <v>280</v>
      </c>
      <c r="J101" s="83" t="s">
        <v>280</v>
      </c>
      <c r="K101" s="103" t="s">
        <v>280</v>
      </c>
      <c r="L101" s="105"/>
      <c r="M101" s="105"/>
      <c r="N101" s="103" t="s">
        <v>280</v>
      </c>
      <c r="O101" s="103" t="s">
        <v>280</v>
      </c>
      <c r="P101" s="105"/>
      <c r="Q101" s="105"/>
      <c r="R101" s="103" t="s">
        <v>280</v>
      </c>
      <c r="S101" s="105"/>
      <c r="T101" s="105"/>
      <c r="U101" s="105"/>
      <c r="V101" s="105"/>
      <c r="W101" s="105"/>
      <c r="X101" s="103" t="s">
        <v>280</v>
      </c>
      <c r="Y101" s="103" t="s">
        <v>280</v>
      </c>
      <c r="Z101" s="105"/>
      <c r="AA101" s="103" t="s">
        <v>280</v>
      </c>
      <c r="AB101" s="105"/>
      <c r="AC101" s="103" t="s">
        <v>280</v>
      </c>
      <c r="AD101" s="105"/>
      <c r="AE101" s="105"/>
      <c r="AF101" s="105"/>
      <c r="AG101" s="105"/>
      <c r="AH101" s="103" t="s">
        <v>280</v>
      </c>
      <c r="AI101" s="103" t="s">
        <v>280</v>
      </c>
      <c r="AJ101" s="105"/>
      <c r="AK101" s="103" t="s">
        <v>280</v>
      </c>
    </row>
    <row r="102" spans="2:37" ht="15.75" customHeight="1">
      <c r="B102" s="85">
        <v>88</v>
      </c>
      <c r="C102" s="86" t="s">
        <v>303</v>
      </c>
      <c r="D102" s="86" t="s">
        <v>304</v>
      </c>
      <c r="E102" s="86" t="s">
        <v>211</v>
      </c>
      <c r="F102" s="86" t="s">
        <v>245</v>
      </c>
      <c r="G102" s="86" t="s">
        <v>246</v>
      </c>
      <c r="H102" s="107" t="s">
        <v>280</v>
      </c>
      <c r="I102" s="83" t="s">
        <v>280</v>
      </c>
      <c r="J102" s="83" t="s">
        <v>280</v>
      </c>
      <c r="K102" s="103" t="s">
        <v>280</v>
      </c>
      <c r="L102" s="105"/>
      <c r="M102" s="105"/>
      <c r="N102" s="103" t="s">
        <v>280</v>
      </c>
      <c r="O102" s="103" t="s">
        <v>280</v>
      </c>
      <c r="P102" s="105"/>
      <c r="Q102" s="105"/>
      <c r="R102" s="103" t="s">
        <v>280</v>
      </c>
      <c r="S102" s="105"/>
      <c r="T102" s="105"/>
      <c r="U102" s="105"/>
      <c r="V102" s="105"/>
      <c r="W102" s="105"/>
      <c r="X102" s="103" t="s">
        <v>280</v>
      </c>
      <c r="Y102" s="103" t="s">
        <v>280</v>
      </c>
      <c r="Z102" s="105"/>
      <c r="AA102" s="103" t="s">
        <v>280</v>
      </c>
      <c r="AB102" s="105"/>
      <c r="AC102" s="103" t="s">
        <v>280</v>
      </c>
      <c r="AD102" s="105"/>
      <c r="AE102" s="105"/>
      <c r="AF102" s="105"/>
      <c r="AG102" s="105"/>
      <c r="AH102" s="103" t="s">
        <v>280</v>
      </c>
      <c r="AI102" s="103" t="s">
        <v>280</v>
      </c>
      <c r="AJ102" s="105"/>
      <c r="AK102" s="103" t="s">
        <v>280</v>
      </c>
    </row>
    <row r="103" spans="2:37" ht="15.75" customHeight="1">
      <c r="B103" s="85">
        <v>89</v>
      </c>
      <c r="C103" s="86" t="s">
        <v>305</v>
      </c>
      <c r="D103" s="86" t="s">
        <v>304</v>
      </c>
      <c r="E103" s="86" t="s">
        <v>211</v>
      </c>
      <c r="F103" s="86" t="s">
        <v>245</v>
      </c>
      <c r="G103" s="86" t="s">
        <v>246</v>
      </c>
      <c r="H103" s="107" t="s">
        <v>280</v>
      </c>
      <c r="I103" s="83" t="s">
        <v>280</v>
      </c>
      <c r="J103" s="83" t="s">
        <v>280</v>
      </c>
      <c r="K103" s="103" t="s">
        <v>280</v>
      </c>
      <c r="L103" s="105"/>
      <c r="M103" s="105"/>
      <c r="N103" s="103" t="s">
        <v>280</v>
      </c>
      <c r="O103" s="103" t="s">
        <v>280</v>
      </c>
      <c r="P103" s="105"/>
      <c r="Q103" s="105"/>
      <c r="R103" s="103" t="s">
        <v>280</v>
      </c>
      <c r="S103" s="105"/>
      <c r="T103" s="105"/>
      <c r="U103" s="105"/>
      <c r="V103" s="105"/>
      <c r="W103" s="105"/>
      <c r="X103" s="103" t="s">
        <v>280</v>
      </c>
      <c r="Y103" s="103" t="s">
        <v>280</v>
      </c>
      <c r="Z103" s="105"/>
      <c r="AA103" s="103" t="s">
        <v>280</v>
      </c>
      <c r="AB103" s="105"/>
      <c r="AC103" s="103" t="s">
        <v>280</v>
      </c>
      <c r="AD103" s="105"/>
      <c r="AE103" s="105"/>
      <c r="AF103" s="105"/>
      <c r="AG103" s="105"/>
      <c r="AH103" s="103" t="s">
        <v>280</v>
      </c>
      <c r="AI103" s="103" t="s">
        <v>280</v>
      </c>
      <c r="AJ103" s="105"/>
      <c r="AK103" s="103" t="s">
        <v>280</v>
      </c>
    </row>
    <row r="104" spans="2:37" ht="15.75" customHeight="1">
      <c r="B104" s="85">
        <v>90</v>
      </c>
      <c r="C104" s="86" t="s">
        <v>306</v>
      </c>
      <c r="D104" s="86" t="s">
        <v>304</v>
      </c>
      <c r="E104" s="86" t="s">
        <v>211</v>
      </c>
      <c r="F104" s="86" t="s">
        <v>245</v>
      </c>
      <c r="G104" s="86" t="s">
        <v>246</v>
      </c>
      <c r="H104" s="107" t="s">
        <v>280</v>
      </c>
      <c r="I104" s="83" t="s">
        <v>280</v>
      </c>
      <c r="J104" s="83" t="s">
        <v>280</v>
      </c>
      <c r="K104" s="103" t="s">
        <v>280</v>
      </c>
      <c r="L104" s="105"/>
      <c r="M104" s="105"/>
      <c r="N104" s="103" t="s">
        <v>280</v>
      </c>
      <c r="O104" s="103" t="s">
        <v>280</v>
      </c>
      <c r="P104" s="105"/>
      <c r="Q104" s="105"/>
      <c r="R104" s="103" t="s">
        <v>280</v>
      </c>
      <c r="S104" s="105"/>
      <c r="T104" s="105"/>
      <c r="U104" s="105"/>
      <c r="V104" s="105"/>
      <c r="W104" s="105"/>
      <c r="X104" s="103" t="s">
        <v>280</v>
      </c>
      <c r="Y104" s="103" t="s">
        <v>280</v>
      </c>
      <c r="Z104" s="105"/>
      <c r="AA104" s="103" t="s">
        <v>280</v>
      </c>
      <c r="AB104" s="105"/>
      <c r="AC104" s="103" t="s">
        <v>280</v>
      </c>
      <c r="AD104" s="105"/>
      <c r="AE104" s="105"/>
      <c r="AF104" s="105"/>
      <c r="AG104" s="105"/>
      <c r="AH104" s="103" t="s">
        <v>280</v>
      </c>
      <c r="AI104" s="103" t="s">
        <v>280</v>
      </c>
      <c r="AJ104" s="105"/>
      <c r="AK104" s="103" t="s">
        <v>280</v>
      </c>
    </row>
    <row r="105" spans="2:37" ht="15.75" customHeight="1">
      <c r="B105" s="85">
        <v>91</v>
      </c>
      <c r="C105" s="86" t="s">
        <v>307</v>
      </c>
      <c r="D105" s="86" t="s">
        <v>304</v>
      </c>
      <c r="E105" s="86" t="s">
        <v>211</v>
      </c>
      <c r="F105" s="86" t="s">
        <v>245</v>
      </c>
      <c r="G105" s="86" t="s">
        <v>246</v>
      </c>
      <c r="H105" s="107" t="s">
        <v>280</v>
      </c>
      <c r="I105" s="83" t="s">
        <v>280</v>
      </c>
      <c r="J105" s="83" t="s">
        <v>280</v>
      </c>
      <c r="K105" s="103" t="s">
        <v>280</v>
      </c>
      <c r="L105" s="105"/>
      <c r="M105" s="105"/>
      <c r="N105" s="103" t="s">
        <v>280</v>
      </c>
      <c r="O105" s="103" t="s">
        <v>280</v>
      </c>
      <c r="P105" s="105"/>
      <c r="Q105" s="105"/>
      <c r="R105" s="103" t="s">
        <v>280</v>
      </c>
      <c r="S105" s="105"/>
      <c r="T105" s="105"/>
      <c r="U105" s="105"/>
      <c r="V105" s="105"/>
      <c r="W105" s="105"/>
      <c r="X105" s="103" t="s">
        <v>280</v>
      </c>
      <c r="Y105" s="103" t="s">
        <v>280</v>
      </c>
      <c r="Z105" s="105"/>
      <c r="AA105" s="103" t="s">
        <v>280</v>
      </c>
      <c r="AB105" s="105"/>
      <c r="AC105" s="103" t="s">
        <v>280</v>
      </c>
      <c r="AD105" s="105"/>
      <c r="AE105" s="105"/>
      <c r="AF105" s="105"/>
      <c r="AG105" s="105"/>
      <c r="AH105" s="103" t="s">
        <v>280</v>
      </c>
      <c r="AI105" s="103" t="s">
        <v>280</v>
      </c>
      <c r="AJ105" s="105"/>
      <c r="AK105" s="103" t="s">
        <v>280</v>
      </c>
    </row>
    <row r="106" spans="2:37" ht="15.75" customHeight="1">
      <c r="B106" s="85">
        <v>92</v>
      </c>
      <c r="C106" s="86" t="s">
        <v>308</v>
      </c>
      <c r="D106" s="86" t="s">
        <v>304</v>
      </c>
      <c r="E106" s="86" t="s">
        <v>211</v>
      </c>
      <c r="F106" s="86" t="s">
        <v>245</v>
      </c>
      <c r="G106" s="86" t="s">
        <v>246</v>
      </c>
      <c r="H106" s="107" t="s">
        <v>280</v>
      </c>
      <c r="I106" s="83" t="s">
        <v>280</v>
      </c>
      <c r="J106" s="83" t="s">
        <v>280</v>
      </c>
      <c r="K106" s="103" t="s">
        <v>280</v>
      </c>
      <c r="L106" s="105"/>
      <c r="M106" s="105"/>
      <c r="N106" s="103" t="s">
        <v>280</v>
      </c>
      <c r="O106" s="103" t="s">
        <v>280</v>
      </c>
      <c r="P106" s="105"/>
      <c r="Q106" s="105"/>
      <c r="R106" s="103" t="s">
        <v>280</v>
      </c>
      <c r="S106" s="105"/>
      <c r="T106" s="105"/>
      <c r="U106" s="105"/>
      <c r="V106" s="105"/>
      <c r="W106" s="105"/>
      <c r="X106" s="103" t="s">
        <v>280</v>
      </c>
      <c r="Y106" s="103" t="s">
        <v>280</v>
      </c>
      <c r="Z106" s="105"/>
      <c r="AA106" s="103" t="s">
        <v>280</v>
      </c>
      <c r="AB106" s="105"/>
      <c r="AC106" s="103" t="s">
        <v>280</v>
      </c>
      <c r="AD106" s="105"/>
      <c r="AE106" s="105"/>
      <c r="AF106" s="105"/>
      <c r="AG106" s="105"/>
      <c r="AH106" s="103" t="s">
        <v>280</v>
      </c>
      <c r="AI106" s="103" t="s">
        <v>280</v>
      </c>
      <c r="AJ106" s="105"/>
      <c r="AK106" s="103" t="s">
        <v>280</v>
      </c>
    </row>
    <row r="107" spans="2:37" ht="15.75" customHeight="1">
      <c r="B107" s="85">
        <v>93</v>
      </c>
      <c r="C107" s="86" t="s">
        <v>309</v>
      </c>
      <c r="D107" s="86" t="s">
        <v>310</v>
      </c>
      <c r="E107" s="86" t="s">
        <v>211</v>
      </c>
      <c r="F107" s="86" t="s">
        <v>245</v>
      </c>
      <c r="G107" s="86" t="s">
        <v>246</v>
      </c>
      <c r="H107" s="107" t="s">
        <v>280</v>
      </c>
      <c r="I107" s="83" t="s">
        <v>280</v>
      </c>
      <c r="J107" s="83" t="s">
        <v>280</v>
      </c>
      <c r="K107" s="103" t="s">
        <v>280</v>
      </c>
      <c r="L107" s="105"/>
      <c r="M107" s="105"/>
      <c r="N107" s="103" t="s">
        <v>280</v>
      </c>
      <c r="O107" s="103" t="s">
        <v>280</v>
      </c>
      <c r="P107" s="105"/>
      <c r="Q107" s="105"/>
      <c r="R107" s="103" t="s">
        <v>280</v>
      </c>
      <c r="S107" s="105"/>
      <c r="T107" s="105"/>
      <c r="U107" s="105"/>
      <c r="V107" s="105"/>
      <c r="W107" s="105"/>
      <c r="X107" s="103" t="s">
        <v>280</v>
      </c>
      <c r="Y107" s="103" t="s">
        <v>280</v>
      </c>
      <c r="Z107" s="105"/>
      <c r="AA107" s="103" t="s">
        <v>280</v>
      </c>
      <c r="AB107" s="105"/>
      <c r="AC107" s="103" t="s">
        <v>280</v>
      </c>
      <c r="AD107" s="105"/>
      <c r="AE107" s="105"/>
      <c r="AF107" s="105"/>
      <c r="AG107" s="105"/>
      <c r="AH107" s="103" t="s">
        <v>280</v>
      </c>
      <c r="AI107" s="103" t="s">
        <v>280</v>
      </c>
      <c r="AJ107" s="105"/>
      <c r="AK107" s="103" t="s">
        <v>280</v>
      </c>
    </row>
    <row r="108" spans="2:37" ht="15.75" customHeight="1">
      <c r="B108" s="85">
        <v>94</v>
      </c>
      <c r="C108" s="86" t="s">
        <v>311</v>
      </c>
      <c r="D108" s="86" t="s">
        <v>312</v>
      </c>
      <c r="E108" s="86" t="s">
        <v>211</v>
      </c>
      <c r="F108" s="86" t="s">
        <v>245</v>
      </c>
      <c r="G108" s="86" t="s">
        <v>246</v>
      </c>
      <c r="H108" s="107" t="s">
        <v>280</v>
      </c>
      <c r="I108" s="83" t="s">
        <v>280</v>
      </c>
      <c r="J108" s="83" t="s">
        <v>280</v>
      </c>
      <c r="K108" s="103" t="s">
        <v>280</v>
      </c>
      <c r="L108" s="105"/>
      <c r="M108" s="105"/>
      <c r="N108" s="103" t="s">
        <v>280</v>
      </c>
      <c r="O108" s="103" t="s">
        <v>280</v>
      </c>
      <c r="P108" s="105"/>
      <c r="Q108" s="105"/>
      <c r="R108" s="103" t="s">
        <v>280</v>
      </c>
      <c r="S108" s="105"/>
      <c r="T108" s="105"/>
      <c r="U108" s="105"/>
      <c r="V108" s="105"/>
      <c r="W108" s="105"/>
      <c r="X108" s="103" t="s">
        <v>280</v>
      </c>
      <c r="Y108" s="103" t="s">
        <v>280</v>
      </c>
      <c r="Z108" s="105"/>
      <c r="AA108" s="103" t="s">
        <v>280</v>
      </c>
      <c r="AB108" s="105"/>
      <c r="AC108" s="103" t="s">
        <v>280</v>
      </c>
      <c r="AD108" s="105"/>
      <c r="AE108" s="105"/>
      <c r="AF108" s="105"/>
      <c r="AG108" s="105"/>
      <c r="AH108" s="103" t="s">
        <v>280</v>
      </c>
      <c r="AI108" s="103" t="s">
        <v>280</v>
      </c>
      <c r="AJ108" s="105"/>
      <c r="AK108" s="103" t="s">
        <v>280</v>
      </c>
    </row>
    <row r="109" spans="2:37" ht="15.75" customHeight="1">
      <c r="B109" s="85">
        <v>95</v>
      </c>
      <c r="C109" s="86" t="s">
        <v>313</v>
      </c>
      <c r="D109" s="86" t="s">
        <v>312</v>
      </c>
      <c r="E109" s="86" t="s">
        <v>211</v>
      </c>
      <c r="F109" s="86" t="s">
        <v>245</v>
      </c>
      <c r="G109" s="86" t="s">
        <v>246</v>
      </c>
      <c r="H109" s="107" t="s">
        <v>280</v>
      </c>
      <c r="I109" s="83" t="s">
        <v>280</v>
      </c>
      <c r="J109" s="83" t="s">
        <v>280</v>
      </c>
      <c r="K109" s="103" t="s">
        <v>280</v>
      </c>
      <c r="L109" s="105"/>
      <c r="M109" s="105"/>
      <c r="N109" s="103" t="s">
        <v>280</v>
      </c>
      <c r="O109" s="103" t="s">
        <v>280</v>
      </c>
      <c r="P109" s="105"/>
      <c r="Q109" s="105"/>
      <c r="R109" s="103" t="s">
        <v>280</v>
      </c>
      <c r="S109" s="105"/>
      <c r="T109" s="105"/>
      <c r="U109" s="105"/>
      <c r="V109" s="105"/>
      <c r="W109" s="105"/>
      <c r="X109" s="103" t="s">
        <v>280</v>
      </c>
      <c r="Y109" s="103" t="s">
        <v>280</v>
      </c>
      <c r="Z109" s="105"/>
      <c r="AA109" s="103" t="s">
        <v>280</v>
      </c>
      <c r="AB109" s="105"/>
      <c r="AC109" s="103" t="s">
        <v>280</v>
      </c>
      <c r="AD109" s="105"/>
      <c r="AE109" s="105"/>
      <c r="AF109" s="105"/>
      <c r="AG109" s="105"/>
      <c r="AH109" s="103" t="s">
        <v>280</v>
      </c>
      <c r="AI109" s="103" t="s">
        <v>280</v>
      </c>
      <c r="AJ109" s="105"/>
      <c r="AK109" s="103" t="s">
        <v>280</v>
      </c>
    </row>
    <row r="110" spans="2:37" ht="15.75" customHeight="1">
      <c r="B110" s="85">
        <v>96</v>
      </c>
      <c r="C110" s="86" t="s">
        <v>314</v>
      </c>
      <c r="D110" s="86" t="s">
        <v>312</v>
      </c>
      <c r="E110" s="86" t="s">
        <v>211</v>
      </c>
      <c r="F110" s="86" t="s">
        <v>245</v>
      </c>
      <c r="G110" s="86" t="s">
        <v>246</v>
      </c>
      <c r="H110" s="107" t="s">
        <v>280</v>
      </c>
      <c r="I110" s="83" t="s">
        <v>280</v>
      </c>
      <c r="J110" s="83" t="s">
        <v>280</v>
      </c>
      <c r="K110" s="103" t="s">
        <v>280</v>
      </c>
      <c r="L110" s="105"/>
      <c r="M110" s="105"/>
      <c r="N110" s="103" t="s">
        <v>280</v>
      </c>
      <c r="O110" s="103" t="s">
        <v>280</v>
      </c>
      <c r="P110" s="105"/>
      <c r="Q110" s="105"/>
      <c r="R110" s="103" t="s">
        <v>280</v>
      </c>
      <c r="S110" s="105"/>
      <c r="T110" s="105"/>
      <c r="U110" s="105"/>
      <c r="V110" s="105"/>
      <c r="W110" s="105"/>
      <c r="X110" s="103" t="s">
        <v>280</v>
      </c>
      <c r="Y110" s="103" t="s">
        <v>280</v>
      </c>
      <c r="Z110" s="105"/>
      <c r="AA110" s="103" t="s">
        <v>280</v>
      </c>
      <c r="AB110" s="105"/>
      <c r="AC110" s="103" t="s">
        <v>280</v>
      </c>
      <c r="AD110" s="105"/>
      <c r="AE110" s="105"/>
      <c r="AF110" s="105"/>
      <c r="AG110" s="105"/>
      <c r="AH110" s="103" t="s">
        <v>280</v>
      </c>
      <c r="AI110" s="103" t="s">
        <v>280</v>
      </c>
      <c r="AJ110" s="105"/>
      <c r="AK110" s="103" t="s">
        <v>280</v>
      </c>
    </row>
    <row r="111" spans="2:37" ht="15.75" customHeight="1">
      <c r="B111" s="85">
        <v>97</v>
      </c>
      <c r="C111" s="86" t="s">
        <v>315</v>
      </c>
      <c r="D111" s="86" t="s">
        <v>312</v>
      </c>
      <c r="E111" s="86" t="s">
        <v>211</v>
      </c>
      <c r="F111" s="86" t="s">
        <v>245</v>
      </c>
      <c r="G111" s="86" t="s">
        <v>246</v>
      </c>
      <c r="H111" s="107" t="s">
        <v>280</v>
      </c>
      <c r="I111" s="83" t="s">
        <v>280</v>
      </c>
      <c r="J111" s="83" t="s">
        <v>280</v>
      </c>
      <c r="K111" s="103" t="s">
        <v>280</v>
      </c>
      <c r="L111" s="105"/>
      <c r="M111" s="105"/>
      <c r="N111" s="103" t="s">
        <v>280</v>
      </c>
      <c r="O111" s="103" t="s">
        <v>280</v>
      </c>
      <c r="P111" s="105"/>
      <c r="Q111" s="105"/>
      <c r="R111" s="103" t="s">
        <v>280</v>
      </c>
      <c r="S111" s="105"/>
      <c r="T111" s="105"/>
      <c r="U111" s="105"/>
      <c r="V111" s="105"/>
      <c r="W111" s="105"/>
      <c r="X111" s="103" t="s">
        <v>280</v>
      </c>
      <c r="Y111" s="103" t="s">
        <v>280</v>
      </c>
      <c r="Z111" s="105"/>
      <c r="AA111" s="103" t="s">
        <v>280</v>
      </c>
      <c r="AB111" s="105"/>
      <c r="AC111" s="103" t="s">
        <v>280</v>
      </c>
      <c r="AD111" s="105"/>
      <c r="AE111" s="105"/>
      <c r="AF111" s="105"/>
      <c r="AG111" s="105"/>
      <c r="AH111" s="103" t="s">
        <v>280</v>
      </c>
      <c r="AI111" s="103" t="s">
        <v>280</v>
      </c>
      <c r="AJ111" s="105"/>
      <c r="AK111" s="103" t="s">
        <v>280</v>
      </c>
    </row>
    <row r="112" spans="2:37" ht="15.75" customHeight="1">
      <c r="B112" s="85">
        <v>98</v>
      </c>
      <c r="C112" s="86" t="s">
        <v>316</v>
      </c>
      <c r="D112" s="86" t="s">
        <v>312</v>
      </c>
      <c r="E112" s="86" t="s">
        <v>211</v>
      </c>
      <c r="F112" s="86" t="s">
        <v>245</v>
      </c>
      <c r="G112" s="86" t="s">
        <v>246</v>
      </c>
      <c r="H112" s="107" t="s">
        <v>280</v>
      </c>
      <c r="I112" s="83" t="s">
        <v>280</v>
      </c>
      <c r="J112" s="83" t="s">
        <v>280</v>
      </c>
      <c r="K112" s="103" t="s">
        <v>280</v>
      </c>
      <c r="L112" s="105"/>
      <c r="M112" s="105"/>
      <c r="N112" s="103" t="s">
        <v>280</v>
      </c>
      <c r="O112" s="103" t="s">
        <v>280</v>
      </c>
      <c r="P112" s="105"/>
      <c r="Q112" s="105"/>
      <c r="R112" s="103" t="s">
        <v>280</v>
      </c>
      <c r="S112" s="105"/>
      <c r="T112" s="105"/>
      <c r="U112" s="105"/>
      <c r="V112" s="105"/>
      <c r="W112" s="105"/>
      <c r="X112" s="103" t="s">
        <v>280</v>
      </c>
      <c r="Y112" s="103" t="s">
        <v>280</v>
      </c>
      <c r="Z112" s="105"/>
      <c r="AA112" s="103" t="s">
        <v>280</v>
      </c>
      <c r="AB112" s="105"/>
      <c r="AC112" s="103" t="s">
        <v>280</v>
      </c>
      <c r="AD112" s="105"/>
      <c r="AE112" s="105"/>
      <c r="AF112" s="105"/>
      <c r="AG112" s="105"/>
      <c r="AH112" s="103" t="s">
        <v>280</v>
      </c>
      <c r="AI112" s="103" t="s">
        <v>280</v>
      </c>
      <c r="AJ112" s="105"/>
      <c r="AK112" s="103" t="s">
        <v>280</v>
      </c>
    </row>
    <row r="113" spans="2:37" ht="15.75" customHeight="1">
      <c r="B113" s="85">
        <v>99</v>
      </c>
      <c r="C113" s="86" t="s">
        <v>317</v>
      </c>
      <c r="D113" s="86" t="s">
        <v>318</v>
      </c>
      <c r="E113" s="86" t="s">
        <v>211</v>
      </c>
      <c r="F113" s="86" t="s">
        <v>245</v>
      </c>
      <c r="G113" s="86" t="s">
        <v>246</v>
      </c>
      <c r="H113" s="107" t="s">
        <v>280</v>
      </c>
      <c r="I113" s="83" t="s">
        <v>280</v>
      </c>
      <c r="J113" s="83" t="s">
        <v>280</v>
      </c>
      <c r="K113" s="103" t="s">
        <v>280</v>
      </c>
      <c r="L113" s="105"/>
      <c r="M113" s="105"/>
      <c r="N113" s="103" t="s">
        <v>280</v>
      </c>
      <c r="O113" s="103" t="s">
        <v>280</v>
      </c>
      <c r="P113" s="105"/>
      <c r="Q113" s="105"/>
      <c r="R113" s="103" t="s">
        <v>280</v>
      </c>
      <c r="S113" s="105"/>
      <c r="T113" s="105"/>
      <c r="U113" s="105"/>
      <c r="V113" s="105"/>
      <c r="W113" s="105"/>
      <c r="X113" s="103" t="s">
        <v>280</v>
      </c>
      <c r="Y113" s="103" t="s">
        <v>280</v>
      </c>
      <c r="Z113" s="105"/>
      <c r="AA113" s="103" t="s">
        <v>280</v>
      </c>
      <c r="AB113" s="105"/>
      <c r="AC113" s="103" t="s">
        <v>280</v>
      </c>
      <c r="AD113" s="105"/>
      <c r="AE113" s="105"/>
      <c r="AF113" s="105"/>
      <c r="AG113" s="105"/>
      <c r="AH113" s="103" t="s">
        <v>280</v>
      </c>
      <c r="AI113" s="103" t="s">
        <v>280</v>
      </c>
      <c r="AJ113" s="105"/>
      <c r="AK113" s="103" t="s">
        <v>280</v>
      </c>
    </row>
    <row r="114" spans="2:37" ht="15.75" customHeight="1">
      <c r="B114" s="85">
        <v>100</v>
      </c>
      <c r="C114" s="86" t="s">
        <v>319</v>
      </c>
      <c r="D114" s="86" t="s">
        <v>320</v>
      </c>
      <c r="E114" s="86" t="s">
        <v>211</v>
      </c>
      <c r="F114" s="86" t="s">
        <v>245</v>
      </c>
      <c r="G114" s="86" t="s">
        <v>246</v>
      </c>
      <c r="H114" s="107" t="s">
        <v>280</v>
      </c>
      <c r="I114" s="83" t="s">
        <v>280</v>
      </c>
      <c r="J114" s="83" t="s">
        <v>280</v>
      </c>
      <c r="K114" s="103" t="s">
        <v>280</v>
      </c>
      <c r="L114" s="105"/>
      <c r="M114" s="105"/>
      <c r="N114" s="103" t="s">
        <v>280</v>
      </c>
      <c r="O114" s="103" t="s">
        <v>280</v>
      </c>
      <c r="P114" s="105"/>
      <c r="Q114" s="105"/>
      <c r="R114" s="103" t="s">
        <v>280</v>
      </c>
      <c r="S114" s="105"/>
      <c r="T114" s="105"/>
      <c r="U114" s="105"/>
      <c r="V114" s="105"/>
      <c r="W114" s="105"/>
      <c r="X114" s="103" t="s">
        <v>280</v>
      </c>
      <c r="Y114" s="103" t="s">
        <v>280</v>
      </c>
      <c r="Z114" s="105"/>
      <c r="AA114" s="103" t="s">
        <v>280</v>
      </c>
      <c r="AB114" s="105"/>
      <c r="AC114" s="103" t="s">
        <v>280</v>
      </c>
      <c r="AD114" s="105"/>
      <c r="AE114" s="105"/>
      <c r="AF114" s="105"/>
      <c r="AG114" s="105"/>
      <c r="AH114" s="103" t="s">
        <v>280</v>
      </c>
      <c r="AI114" s="103" t="s">
        <v>280</v>
      </c>
      <c r="AJ114" s="105"/>
      <c r="AK114" s="103" t="s">
        <v>280</v>
      </c>
    </row>
    <row r="115" spans="2:37" ht="15.75" customHeight="1">
      <c r="B115" s="85">
        <v>101</v>
      </c>
      <c r="C115" s="86" t="s">
        <v>321</v>
      </c>
      <c r="D115" s="86" t="s">
        <v>320</v>
      </c>
      <c r="E115" s="86" t="s">
        <v>211</v>
      </c>
      <c r="F115" s="86" t="s">
        <v>245</v>
      </c>
      <c r="G115" s="86" t="s">
        <v>246</v>
      </c>
      <c r="H115" s="107" t="s">
        <v>280</v>
      </c>
      <c r="I115" s="83" t="s">
        <v>280</v>
      </c>
      <c r="J115" s="83" t="s">
        <v>280</v>
      </c>
      <c r="K115" s="103" t="s">
        <v>280</v>
      </c>
      <c r="L115" s="105"/>
      <c r="M115" s="105"/>
      <c r="N115" s="103" t="s">
        <v>280</v>
      </c>
      <c r="O115" s="103" t="s">
        <v>280</v>
      </c>
      <c r="P115" s="105"/>
      <c r="Q115" s="105"/>
      <c r="R115" s="103" t="s">
        <v>280</v>
      </c>
      <c r="S115" s="105"/>
      <c r="T115" s="105"/>
      <c r="U115" s="105"/>
      <c r="V115" s="105"/>
      <c r="W115" s="105"/>
      <c r="X115" s="103" t="s">
        <v>280</v>
      </c>
      <c r="Y115" s="103" t="s">
        <v>280</v>
      </c>
      <c r="Z115" s="105"/>
      <c r="AA115" s="103" t="s">
        <v>280</v>
      </c>
      <c r="AB115" s="105"/>
      <c r="AC115" s="103" t="s">
        <v>280</v>
      </c>
      <c r="AD115" s="105"/>
      <c r="AE115" s="105"/>
      <c r="AF115" s="105"/>
      <c r="AG115" s="105"/>
      <c r="AH115" s="103" t="s">
        <v>280</v>
      </c>
      <c r="AI115" s="103" t="s">
        <v>280</v>
      </c>
      <c r="AJ115" s="105"/>
      <c r="AK115" s="103" t="s">
        <v>280</v>
      </c>
    </row>
    <row r="116" spans="2:37" ht="15.75" customHeight="1">
      <c r="B116" s="85">
        <v>102</v>
      </c>
      <c r="C116" s="86" t="s">
        <v>322</v>
      </c>
      <c r="D116" s="86" t="s">
        <v>320</v>
      </c>
      <c r="E116" s="86" t="s">
        <v>211</v>
      </c>
      <c r="F116" s="86" t="s">
        <v>245</v>
      </c>
      <c r="G116" s="86" t="s">
        <v>246</v>
      </c>
      <c r="H116" s="107" t="s">
        <v>280</v>
      </c>
      <c r="I116" s="83" t="s">
        <v>280</v>
      </c>
      <c r="J116" s="83" t="s">
        <v>280</v>
      </c>
      <c r="K116" s="103" t="s">
        <v>280</v>
      </c>
      <c r="L116" s="105"/>
      <c r="M116" s="105"/>
      <c r="N116" s="103" t="s">
        <v>280</v>
      </c>
      <c r="O116" s="103" t="s">
        <v>280</v>
      </c>
      <c r="P116" s="105"/>
      <c r="Q116" s="105"/>
      <c r="R116" s="103" t="s">
        <v>280</v>
      </c>
      <c r="S116" s="105"/>
      <c r="T116" s="105"/>
      <c r="U116" s="105"/>
      <c r="V116" s="105"/>
      <c r="W116" s="105"/>
      <c r="X116" s="103" t="s">
        <v>280</v>
      </c>
      <c r="Y116" s="103" t="s">
        <v>280</v>
      </c>
      <c r="Z116" s="105"/>
      <c r="AA116" s="103" t="s">
        <v>280</v>
      </c>
      <c r="AB116" s="105"/>
      <c r="AC116" s="103" t="s">
        <v>280</v>
      </c>
      <c r="AD116" s="105"/>
      <c r="AE116" s="105"/>
      <c r="AF116" s="105"/>
      <c r="AG116" s="105"/>
      <c r="AH116" s="103" t="s">
        <v>280</v>
      </c>
      <c r="AI116" s="103" t="s">
        <v>280</v>
      </c>
      <c r="AJ116" s="105"/>
      <c r="AK116" s="103" t="s">
        <v>280</v>
      </c>
    </row>
    <row r="117" spans="2:37" ht="15.75" customHeight="1">
      <c r="B117" s="85">
        <v>103</v>
      </c>
      <c r="C117" s="86" t="s">
        <v>323</v>
      </c>
      <c r="D117" s="86" t="s">
        <v>320</v>
      </c>
      <c r="E117" s="86" t="s">
        <v>211</v>
      </c>
      <c r="F117" s="86" t="s">
        <v>245</v>
      </c>
      <c r="G117" s="86" t="s">
        <v>246</v>
      </c>
      <c r="H117" s="107" t="s">
        <v>280</v>
      </c>
      <c r="I117" s="83" t="s">
        <v>280</v>
      </c>
      <c r="J117" s="83" t="s">
        <v>280</v>
      </c>
      <c r="K117" s="103" t="s">
        <v>280</v>
      </c>
      <c r="L117" s="105"/>
      <c r="M117" s="105"/>
      <c r="N117" s="103" t="s">
        <v>280</v>
      </c>
      <c r="O117" s="103" t="s">
        <v>280</v>
      </c>
      <c r="P117" s="105"/>
      <c r="Q117" s="105"/>
      <c r="R117" s="103" t="s">
        <v>280</v>
      </c>
      <c r="S117" s="105"/>
      <c r="T117" s="105"/>
      <c r="U117" s="105"/>
      <c r="V117" s="105"/>
      <c r="W117" s="105"/>
      <c r="X117" s="103" t="s">
        <v>280</v>
      </c>
      <c r="Y117" s="103" t="s">
        <v>280</v>
      </c>
      <c r="Z117" s="105"/>
      <c r="AA117" s="103" t="s">
        <v>280</v>
      </c>
      <c r="AB117" s="105"/>
      <c r="AC117" s="103" t="s">
        <v>280</v>
      </c>
      <c r="AD117" s="105"/>
      <c r="AE117" s="105"/>
      <c r="AF117" s="105"/>
      <c r="AG117" s="105"/>
      <c r="AH117" s="103" t="s">
        <v>280</v>
      </c>
      <c r="AI117" s="103" t="s">
        <v>280</v>
      </c>
      <c r="AJ117" s="105"/>
      <c r="AK117" s="103" t="s">
        <v>280</v>
      </c>
    </row>
    <row r="118" spans="2:37" ht="15.75" customHeight="1">
      <c r="B118" s="85">
        <v>104</v>
      </c>
      <c r="C118" s="86" t="s">
        <v>324</v>
      </c>
      <c r="D118" s="86" t="s">
        <v>320</v>
      </c>
      <c r="E118" s="86" t="s">
        <v>211</v>
      </c>
      <c r="F118" s="86" t="s">
        <v>245</v>
      </c>
      <c r="G118" s="86" t="s">
        <v>246</v>
      </c>
      <c r="H118" s="107" t="s">
        <v>280</v>
      </c>
      <c r="I118" s="83" t="s">
        <v>280</v>
      </c>
      <c r="J118" s="83" t="s">
        <v>280</v>
      </c>
      <c r="K118" s="103" t="s">
        <v>280</v>
      </c>
      <c r="L118" s="105"/>
      <c r="M118" s="105"/>
      <c r="N118" s="103" t="s">
        <v>280</v>
      </c>
      <c r="O118" s="103" t="s">
        <v>280</v>
      </c>
      <c r="P118" s="105"/>
      <c r="Q118" s="105"/>
      <c r="R118" s="103" t="s">
        <v>280</v>
      </c>
      <c r="S118" s="105"/>
      <c r="T118" s="105"/>
      <c r="U118" s="105"/>
      <c r="V118" s="105"/>
      <c r="W118" s="105"/>
      <c r="X118" s="103" t="s">
        <v>280</v>
      </c>
      <c r="Y118" s="103" t="s">
        <v>280</v>
      </c>
      <c r="Z118" s="105"/>
      <c r="AA118" s="103" t="s">
        <v>280</v>
      </c>
      <c r="AB118" s="105"/>
      <c r="AC118" s="103" t="s">
        <v>280</v>
      </c>
      <c r="AD118" s="105"/>
      <c r="AE118" s="105"/>
      <c r="AF118" s="105"/>
      <c r="AG118" s="105"/>
      <c r="AH118" s="103" t="s">
        <v>280</v>
      </c>
      <c r="AI118" s="103" t="s">
        <v>280</v>
      </c>
      <c r="AJ118" s="105"/>
      <c r="AK118" s="103" t="s">
        <v>280</v>
      </c>
    </row>
    <row r="119" spans="2:37" ht="15.75" customHeight="1">
      <c r="B119" s="85">
        <v>105</v>
      </c>
      <c r="C119" s="86" t="s">
        <v>325</v>
      </c>
      <c r="D119" s="86" t="s">
        <v>326</v>
      </c>
      <c r="E119" s="86" t="s">
        <v>211</v>
      </c>
      <c r="F119" s="86" t="s">
        <v>245</v>
      </c>
      <c r="G119" s="86" t="s">
        <v>246</v>
      </c>
      <c r="H119" s="107" t="s">
        <v>280</v>
      </c>
      <c r="I119" s="83" t="s">
        <v>280</v>
      </c>
      <c r="J119" s="83" t="s">
        <v>280</v>
      </c>
      <c r="K119" s="103" t="s">
        <v>280</v>
      </c>
      <c r="L119" s="105"/>
      <c r="M119" s="105"/>
      <c r="N119" s="103" t="s">
        <v>280</v>
      </c>
      <c r="O119" s="103" t="s">
        <v>280</v>
      </c>
      <c r="P119" s="105"/>
      <c r="Q119" s="105"/>
      <c r="R119" s="103" t="s">
        <v>280</v>
      </c>
      <c r="S119" s="105"/>
      <c r="T119" s="105"/>
      <c r="U119" s="105"/>
      <c r="V119" s="105"/>
      <c r="W119" s="105"/>
      <c r="X119" s="103" t="s">
        <v>280</v>
      </c>
      <c r="Y119" s="103" t="s">
        <v>280</v>
      </c>
      <c r="Z119" s="105"/>
      <c r="AA119" s="103" t="s">
        <v>280</v>
      </c>
      <c r="AB119" s="105"/>
      <c r="AC119" s="103" t="s">
        <v>280</v>
      </c>
      <c r="AD119" s="105"/>
      <c r="AE119" s="105"/>
      <c r="AF119" s="105"/>
      <c r="AG119" s="105"/>
      <c r="AH119" s="103" t="s">
        <v>280</v>
      </c>
      <c r="AI119" s="103" t="s">
        <v>280</v>
      </c>
      <c r="AJ119" s="105"/>
      <c r="AK119" s="103" t="s">
        <v>280</v>
      </c>
    </row>
    <row r="120" spans="2:37" ht="15.75" customHeight="1">
      <c r="B120" s="85">
        <v>106</v>
      </c>
      <c r="C120" s="86" t="s">
        <v>327</v>
      </c>
      <c r="D120" s="86" t="s">
        <v>326</v>
      </c>
      <c r="E120" s="86" t="s">
        <v>211</v>
      </c>
      <c r="F120" s="86" t="s">
        <v>245</v>
      </c>
      <c r="G120" s="86" t="s">
        <v>246</v>
      </c>
      <c r="H120" s="107" t="s">
        <v>280</v>
      </c>
      <c r="I120" s="83" t="s">
        <v>280</v>
      </c>
      <c r="J120" s="83" t="s">
        <v>280</v>
      </c>
      <c r="K120" s="103" t="s">
        <v>280</v>
      </c>
      <c r="L120" s="105"/>
      <c r="M120" s="105"/>
      <c r="N120" s="103" t="s">
        <v>280</v>
      </c>
      <c r="O120" s="103" t="s">
        <v>280</v>
      </c>
      <c r="P120" s="105"/>
      <c r="Q120" s="105"/>
      <c r="R120" s="103" t="s">
        <v>280</v>
      </c>
      <c r="S120" s="105"/>
      <c r="T120" s="105"/>
      <c r="U120" s="105"/>
      <c r="V120" s="105"/>
      <c r="W120" s="105"/>
      <c r="X120" s="103" t="s">
        <v>280</v>
      </c>
      <c r="Y120" s="103" t="s">
        <v>280</v>
      </c>
      <c r="Z120" s="105"/>
      <c r="AA120" s="103" t="s">
        <v>280</v>
      </c>
      <c r="AB120" s="105"/>
      <c r="AC120" s="103" t="s">
        <v>280</v>
      </c>
      <c r="AD120" s="105"/>
      <c r="AE120" s="105"/>
      <c r="AF120" s="105"/>
      <c r="AG120" s="105"/>
      <c r="AH120" s="103" t="s">
        <v>280</v>
      </c>
      <c r="AI120" s="103" t="s">
        <v>280</v>
      </c>
      <c r="AJ120" s="105"/>
      <c r="AK120" s="103" t="s">
        <v>280</v>
      </c>
    </row>
    <row r="121" spans="2:37" ht="15.75" customHeight="1">
      <c r="B121" s="85">
        <v>107</v>
      </c>
      <c r="C121" s="86" t="s">
        <v>328</v>
      </c>
      <c r="D121" s="86" t="s">
        <v>326</v>
      </c>
      <c r="E121" s="86" t="s">
        <v>211</v>
      </c>
      <c r="F121" s="86" t="s">
        <v>245</v>
      </c>
      <c r="G121" s="86" t="s">
        <v>246</v>
      </c>
      <c r="H121" s="107" t="s">
        <v>280</v>
      </c>
      <c r="I121" s="83" t="s">
        <v>280</v>
      </c>
      <c r="J121" s="83" t="s">
        <v>280</v>
      </c>
      <c r="K121" s="103" t="s">
        <v>280</v>
      </c>
      <c r="L121" s="105"/>
      <c r="M121" s="105"/>
      <c r="N121" s="103" t="s">
        <v>280</v>
      </c>
      <c r="O121" s="103" t="s">
        <v>280</v>
      </c>
      <c r="P121" s="105"/>
      <c r="Q121" s="105"/>
      <c r="R121" s="103" t="s">
        <v>280</v>
      </c>
      <c r="S121" s="105"/>
      <c r="T121" s="105"/>
      <c r="U121" s="105"/>
      <c r="V121" s="105"/>
      <c r="W121" s="105"/>
      <c r="X121" s="103" t="s">
        <v>280</v>
      </c>
      <c r="Y121" s="103" t="s">
        <v>280</v>
      </c>
      <c r="Z121" s="105"/>
      <c r="AA121" s="103" t="s">
        <v>280</v>
      </c>
      <c r="AB121" s="105"/>
      <c r="AC121" s="103" t="s">
        <v>280</v>
      </c>
      <c r="AD121" s="105"/>
      <c r="AE121" s="105"/>
      <c r="AF121" s="105"/>
      <c r="AG121" s="105"/>
      <c r="AH121" s="103" t="s">
        <v>280</v>
      </c>
      <c r="AI121" s="103" t="s">
        <v>280</v>
      </c>
      <c r="AJ121" s="105"/>
      <c r="AK121" s="103" t="s">
        <v>280</v>
      </c>
    </row>
    <row r="122" spans="2:37" ht="15.75" customHeight="1">
      <c r="B122" s="85">
        <v>108</v>
      </c>
      <c r="C122" s="86" t="s">
        <v>329</v>
      </c>
      <c r="D122" s="86" t="s">
        <v>330</v>
      </c>
      <c r="E122" s="86" t="s">
        <v>211</v>
      </c>
      <c r="F122" s="86" t="s">
        <v>245</v>
      </c>
      <c r="G122" s="86" t="s">
        <v>246</v>
      </c>
      <c r="H122" s="107" t="s">
        <v>280</v>
      </c>
      <c r="I122" s="83" t="s">
        <v>280</v>
      </c>
      <c r="J122" s="83" t="s">
        <v>280</v>
      </c>
      <c r="K122" s="103" t="s">
        <v>280</v>
      </c>
      <c r="L122" s="105"/>
      <c r="M122" s="105"/>
      <c r="N122" s="103" t="s">
        <v>280</v>
      </c>
      <c r="O122" s="103" t="s">
        <v>280</v>
      </c>
      <c r="P122" s="105"/>
      <c r="Q122" s="105"/>
      <c r="R122" s="103" t="s">
        <v>280</v>
      </c>
      <c r="S122" s="105"/>
      <c r="T122" s="105"/>
      <c r="U122" s="105"/>
      <c r="V122" s="105"/>
      <c r="W122" s="105"/>
      <c r="X122" s="103" t="s">
        <v>280</v>
      </c>
      <c r="Y122" s="103" t="s">
        <v>280</v>
      </c>
      <c r="Z122" s="105"/>
      <c r="AA122" s="103" t="s">
        <v>280</v>
      </c>
      <c r="AB122" s="105"/>
      <c r="AC122" s="103" t="s">
        <v>280</v>
      </c>
      <c r="AD122" s="105"/>
      <c r="AE122" s="105"/>
      <c r="AF122" s="105"/>
      <c r="AG122" s="105"/>
      <c r="AH122" s="103" t="s">
        <v>280</v>
      </c>
      <c r="AI122" s="103" t="s">
        <v>280</v>
      </c>
      <c r="AJ122" s="105"/>
      <c r="AK122" s="103" t="s">
        <v>280</v>
      </c>
    </row>
    <row r="123" spans="2:37" ht="15.75" customHeight="1">
      <c r="B123" s="85">
        <v>109</v>
      </c>
      <c r="C123" s="86" t="s">
        <v>331</v>
      </c>
      <c r="D123" s="86" t="s">
        <v>332</v>
      </c>
      <c r="E123" s="86" t="s">
        <v>211</v>
      </c>
      <c r="F123" s="86" t="s">
        <v>245</v>
      </c>
      <c r="G123" s="86" t="s">
        <v>246</v>
      </c>
      <c r="H123" s="107" t="s">
        <v>280</v>
      </c>
      <c r="I123" s="83" t="s">
        <v>280</v>
      </c>
      <c r="J123" s="83" t="s">
        <v>280</v>
      </c>
      <c r="K123" s="103" t="s">
        <v>280</v>
      </c>
      <c r="L123" s="105"/>
      <c r="M123" s="105"/>
      <c r="N123" s="103" t="s">
        <v>280</v>
      </c>
      <c r="O123" s="103" t="s">
        <v>280</v>
      </c>
      <c r="P123" s="105"/>
      <c r="Q123" s="105"/>
      <c r="R123" s="103" t="s">
        <v>280</v>
      </c>
      <c r="S123" s="105"/>
      <c r="T123" s="105"/>
      <c r="U123" s="105"/>
      <c r="V123" s="105"/>
      <c r="W123" s="105"/>
      <c r="X123" s="103" t="s">
        <v>280</v>
      </c>
      <c r="Y123" s="103" t="s">
        <v>280</v>
      </c>
      <c r="Z123" s="105"/>
      <c r="AA123" s="103" t="s">
        <v>280</v>
      </c>
      <c r="AB123" s="105"/>
      <c r="AC123" s="103" t="s">
        <v>280</v>
      </c>
      <c r="AD123" s="105"/>
      <c r="AE123" s="105"/>
      <c r="AF123" s="105"/>
      <c r="AG123" s="105"/>
      <c r="AH123" s="103" t="s">
        <v>280</v>
      </c>
      <c r="AI123" s="103" t="s">
        <v>280</v>
      </c>
      <c r="AJ123" s="105"/>
      <c r="AK123" s="103" t="s">
        <v>280</v>
      </c>
    </row>
    <row r="124" spans="2:37" ht="15.75" customHeight="1">
      <c r="B124" s="85">
        <v>110</v>
      </c>
      <c r="C124" s="86" t="s">
        <v>333</v>
      </c>
      <c r="D124" s="86" t="s">
        <v>334</v>
      </c>
      <c r="E124" s="86" t="s">
        <v>211</v>
      </c>
      <c r="F124" s="86" t="s">
        <v>245</v>
      </c>
      <c r="G124" s="86" t="s">
        <v>246</v>
      </c>
      <c r="H124" s="107" t="s">
        <v>280</v>
      </c>
      <c r="I124" s="83" t="s">
        <v>280</v>
      </c>
      <c r="J124" s="83" t="s">
        <v>280</v>
      </c>
      <c r="K124" s="103" t="s">
        <v>280</v>
      </c>
      <c r="L124" s="105"/>
      <c r="M124" s="105"/>
      <c r="N124" s="103" t="s">
        <v>280</v>
      </c>
      <c r="O124" s="103" t="s">
        <v>280</v>
      </c>
      <c r="P124" s="105"/>
      <c r="Q124" s="105"/>
      <c r="R124" s="103" t="s">
        <v>280</v>
      </c>
      <c r="S124" s="105"/>
      <c r="T124" s="105"/>
      <c r="U124" s="105"/>
      <c r="V124" s="105"/>
      <c r="W124" s="105"/>
      <c r="X124" s="103" t="s">
        <v>280</v>
      </c>
      <c r="Y124" s="103" t="s">
        <v>280</v>
      </c>
      <c r="Z124" s="105"/>
      <c r="AA124" s="103" t="s">
        <v>280</v>
      </c>
      <c r="AB124" s="105"/>
      <c r="AC124" s="103" t="s">
        <v>280</v>
      </c>
      <c r="AD124" s="105"/>
      <c r="AE124" s="105"/>
      <c r="AF124" s="105"/>
      <c r="AG124" s="105"/>
      <c r="AH124" s="103" t="s">
        <v>280</v>
      </c>
      <c r="AI124" s="103" t="s">
        <v>280</v>
      </c>
      <c r="AJ124" s="105"/>
      <c r="AK124" s="103" t="s">
        <v>280</v>
      </c>
    </row>
    <row r="125" spans="2:37" ht="15.75" customHeight="1">
      <c r="B125" s="85">
        <v>111</v>
      </c>
      <c r="C125" s="86" t="s">
        <v>335</v>
      </c>
      <c r="D125" s="86" t="s">
        <v>334</v>
      </c>
      <c r="E125" s="86" t="s">
        <v>211</v>
      </c>
      <c r="F125" s="86" t="s">
        <v>245</v>
      </c>
      <c r="G125" s="86" t="s">
        <v>246</v>
      </c>
      <c r="H125" s="107" t="s">
        <v>280</v>
      </c>
      <c r="I125" s="83" t="s">
        <v>280</v>
      </c>
      <c r="J125" s="83" t="s">
        <v>280</v>
      </c>
      <c r="K125" s="103" t="s">
        <v>280</v>
      </c>
      <c r="L125" s="105"/>
      <c r="M125" s="105"/>
      <c r="N125" s="103" t="s">
        <v>280</v>
      </c>
      <c r="O125" s="103" t="s">
        <v>280</v>
      </c>
      <c r="P125" s="105"/>
      <c r="Q125" s="105"/>
      <c r="R125" s="103" t="s">
        <v>280</v>
      </c>
      <c r="S125" s="105"/>
      <c r="T125" s="105"/>
      <c r="U125" s="105"/>
      <c r="V125" s="105"/>
      <c r="W125" s="105"/>
      <c r="X125" s="103" t="s">
        <v>280</v>
      </c>
      <c r="Y125" s="103" t="s">
        <v>280</v>
      </c>
      <c r="Z125" s="105"/>
      <c r="AA125" s="103" t="s">
        <v>280</v>
      </c>
      <c r="AB125" s="105"/>
      <c r="AC125" s="103" t="s">
        <v>280</v>
      </c>
      <c r="AD125" s="105"/>
      <c r="AE125" s="105"/>
      <c r="AF125" s="105"/>
      <c r="AG125" s="105"/>
      <c r="AH125" s="103" t="s">
        <v>280</v>
      </c>
      <c r="AI125" s="103" t="s">
        <v>280</v>
      </c>
      <c r="AJ125" s="105"/>
      <c r="AK125" s="103" t="s">
        <v>280</v>
      </c>
    </row>
    <row r="126" spans="2:37" ht="15.75" customHeight="1">
      <c r="B126" s="85">
        <v>112</v>
      </c>
      <c r="C126" s="86" t="s">
        <v>336</v>
      </c>
      <c r="D126" s="86" t="s">
        <v>337</v>
      </c>
      <c r="E126" s="86" t="s">
        <v>211</v>
      </c>
      <c r="F126" s="86" t="s">
        <v>245</v>
      </c>
      <c r="G126" s="86" t="s">
        <v>246</v>
      </c>
      <c r="H126" s="107" t="s">
        <v>280</v>
      </c>
      <c r="I126" s="83" t="s">
        <v>280</v>
      </c>
      <c r="J126" s="83" t="s">
        <v>280</v>
      </c>
      <c r="K126" s="103" t="s">
        <v>280</v>
      </c>
      <c r="L126" s="105"/>
      <c r="M126" s="105"/>
      <c r="N126" s="103" t="s">
        <v>280</v>
      </c>
      <c r="O126" s="103" t="s">
        <v>280</v>
      </c>
      <c r="P126" s="105"/>
      <c r="Q126" s="105"/>
      <c r="R126" s="103" t="s">
        <v>280</v>
      </c>
      <c r="S126" s="105"/>
      <c r="T126" s="105"/>
      <c r="U126" s="105"/>
      <c r="V126" s="105"/>
      <c r="W126" s="105"/>
      <c r="X126" s="103" t="s">
        <v>280</v>
      </c>
      <c r="Y126" s="103" t="s">
        <v>280</v>
      </c>
      <c r="Z126" s="105"/>
      <c r="AA126" s="103" t="s">
        <v>280</v>
      </c>
      <c r="AB126" s="105"/>
      <c r="AC126" s="103" t="s">
        <v>280</v>
      </c>
      <c r="AD126" s="105"/>
      <c r="AE126" s="105"/>
      <c r="AF126" s="105"/>
      <c r="AG126" s="105"/>
      <c r="AH126" s="103" t="s">
        <v>280</v>
      </c>
      <c r="AI126" s="103" t="s">
        <v>280</v>
      </c>
      <c r="AJ126" s="105"/>
      <c r="AK126" s="103" t="s">
        <v>280</v>
      </c>
    </row>
    <row r="127" spans="2:37" ht="15.75" customHeight="1">
      <c r="B127" s="85">
        <v>113</v>
      </c>
      <c r="C127" s="86" t="s">
        <v>338</v>
      </c>
      <c r="D127" s="86" t="s">
        <v>337</v>
      </c>
      <c r="E127" s="86" t="s">
        <v>211</v>
      </c>
      <c r="F127" s="86" t="s">
        <v>245</v>
      </c>
      <c r="G127" s="86" t="s">
        <v>246</v>
      </c>
      <c r="H127" s="107" t="s">
        <v>280</v>
      </c>
      <c r="I127" s="83" t="s">
        <v>280</v>
      </c>
      <c r="J127" s="83" t="s">
        <v>280</v>
      </c>
      <c r="K127" s="103" t="s">
        <v>280</v>
      </c>
      <c r="L127" s="105"/>
      <c r="M127" s="105"/>
      <c r="N127" s="103" t="s">
        <v>280</v>
      </c>
      <c r="O127" s="103" t="s">
        <v>280</v>
      </c>
      <c r="P127" s="105"/>
      <c r="Q127" s="105"/>
      <c r="R127" s="103" t="s">
        <v>280</v>
      </c>
      <c r="S127" s="105"/>
      <c r="T127" s="105"/>
      <c r="U127" s="105"/>
      <c r="V127" s="105"/>
      <c r="W127" s="105"/>
      <c r="X127" s="103" t="s">
        <v>280</v>
      </c>
      <c r="Y127" s="103" t="s">
        <v>280</v>
      </c>
      <c r="Z127" s="105"/>
      <c r="AA127" s="103" t="s">
        <v>280</v>
      </c>
      <c r="AB127" s="105"/>
      <c r="AC127" s="103" t="s">
        <v>280</v>
      </c>
      <c r="AD127" s="105"/>
      <c r="AE127" s="105"/>
      <c r="AF127" s="105"/>
      <c r="AG127" s="105"/>
      <c r="AH127" s="103" t="s">
        <v>280</v>
      </c>
      <c r="AI127" s="103" t="s">
        <v>280</v>
      </c>
      <c r="AJ127" s="105"/>
      <c r="AK127" s="103" t="s">
        <v>280</v>
      </c>
    </row>
    <row r="128" spans="2:37" ht="15.75" customHeight="1">
      <c r="B128" s="85">
        <v>114</v>
      </c>
      <c r="C128" s="86" t="s">
        <v>339</v>
      </c>
      <c r="D128" s="86" t="s">
        <v>337</v>
      </c>
      <c r="E128" s="86" t="s">
        <v>211</v>
      </c>
      <c r="F128" s="86" t="s">
        <v>245</v>
      </c>
      <c r="G128" s="86" t="s">
        <v>246</v>
      </c>
      <c r="H128" s="107" t="s">
        <v>280</v>
      </c>
      <c r="I128" s="83" t="s">
        <v>280</v>
      </c>
      <c r="J128" s="83" t="s">
        <v>280</v>
      </c>
      <c r="K128" s="103" t="s">
        <v>280</v>
      </c>
      <c r="L128" s="105"/>
      <c r="M128" s="105"/>
      <c r="N128" s="103" t="s">
        <v>280</v>
      </c>
      <c r="O128" s="103" t="s">
        <v>280</v>
      </c>
      <c r="P128" s="105"/>
      <c r="Q128" s="105"/>
      <c r="R128" s="103" t="s">
        <v>280</v>
      </c>
      <c r="S128" s="105"/>
      <c r="T128" s="105"/>
      <c r="U128" s="105"/>
      <c r="V128" s="105"/>
      <c r="W128" s="105"/>
      <c r="X128" s="103" t="s">
        <v>280</v>
      </c>
      <c r="Y128" s="103" t="s">
        <v>280</v>
      </c>
      <c r="Z128" s="105"/>
      <c r="AA128" s="103" t="s">
        <v>280</v>
      </c>
      <c r="AB128" s="105"/>
      <c r="AC128" s="103" t="s">
        <v>280</v>
      </c>
      <c r="AD128" s="105"/>
      <c r="AE128" s="105"/>
      <c r="AF128" s="105"/>
      <c r="AG128" s="105"/>
      <c r="AH128" s="103" t="s">
        <v>280</v>
      </c>
      <c r="AI128" s="103" t="s">
        <v>280</v>
      </c>
      <c r="AJ128" s="105"/>
      <c r="AK128" s="103" t="s">
        <v>280</v>
      </c>
    </row>
    <row r="129" spans="2:37" ht="15.75" customHeight="1">
      <c r="B129" s="85">
        <v>115</v>
      </c>
      <c r="C129" s="86" t="s">
        <v>340</v>
      </c>
      <c r="D129" s="86" t="s">
        <v>337</v>
      </c>
      <c r="E129" s="86" t="s">
        <v>211</v>
      </c>
      <c r="F129" s="86" t="s">
        <v>245</v>
      </c>
      <c r="G129" s="86" t="s">
        <v>246</v>
      </c>
      <c r="H129" s="107" t="s">
        <v>280</v>
      </c>
      <c r="I129" s="83" t="s">
        <v>280</v>
      </c>
      <c r="J129" s="83" t="s">
        <v>280</v>
      </c>
      <c r="K129" s="103" t="s">
        <v>280</v>
      </c>
      <c r="L129" s="105"/>
      <c r="M129" s="105"/>
      <c r="N129" s="103" t="s">
        <v>280</v>
      </c>
      <c r="O129" s="103" t="s">
        <v>280</v>
      </c>
      <c r="P129" s="105"/>
      <c r="Q129" s="105"/>
      <c r="R129" s="103" t="s">
        <v>280</v>
      </c>
      <c r="S129" s="105"/>
      <c r="T129" s="105"/>
      <c r="U129" s="105"/>
      <c r="V129" s="105"/>
      <c r="W129" s="105"/>
      <c r="X129" s="103" t="s">
        <v>280</v>
      </c>
      <c r="Y129" s="103" t="s">
        <v>280</v>
      </c>
      <c r="Z129" s="105"/>
      <c r="AA129" s="103" t="s">
        <v>280</v>
      </c>
      <c r="AB129" s="105"/>
      <c r="AC129" s="103" t="s">
        <v>280</v>
      </c>
      <c r="AD129" s="105"/>
      <c r="AE129" s="105"/>
      <c r="AF129" s="105"/>
      <c r="AG129" s="105"/>
      <c r="AH129" s="103" t="s">
        <v>280</v>
      </c>
      <c r="AI129" s="103" t="s">
        <v>280</v>
      </c>
      <c r="AJ129" s="105"/>
      <c r="AK129" s="103" t="s">
        <v>280</v>
      </c>
    </row>
    <row r="130" spans="2:37" ht="15.75" customHeight="1">
      <c r="B130" s="85">
        <v>116</v>
      </c>
      <c r="C130" s="86" t="s">
        <v>341</v>
      </c>
      <c r="D130" s="86" t="s">
        <v>337</v>
      </c>
      <c r="E130" s="86" t="s">
        <v>211</v>
      </c>
      <c r="F130" s="86" t="s">
        <v>245</v>
      </c>
      <c r="G130" s="86" t="s">
        <v>246</v>
      </c>
      <c r="H130" s="107" t="s">
        <v>280</v>
      </c>
      <c r="I130" s="83" t="s">
        <v>280</v>
      </c>
      <c r="J130" s="83" t="s">
        <v>280</v>
      </c>
      <c r="K130" s="103" t="s">
        <v>280</v>
      </c>
      <c r="L130" s="105"/>
      <c r="M130" s="105"/>
      <c r="N130" s="103" t="s">
        <v>280</v>
      </c>
      <c r="O130" s="103" t="s">
        <v>280</v>
      </c>
      <c r="P130" s="105"/>
      <c r="Q130" s="105"/>
      <c r="R130" s="103" t="s">
        <v>280</v>
      </c>
      <c r="S130" s="105"/>
      <c r="T130" s="105"/>
      <c r="U130" s="105"/>
      <c r="V130" s="105"/>
      <c r="W130" s="105"/>
      <c r="X130" s="103" t="s">
        <v>280</v>
      </c>
      <c r="Y130" s="103" t="s">
        <v>280</v>
      </c>
      <c r="Z130" s="105"/>
      <c r="AA130" s="103" t="s">
        <v>280</v>
      </c>
      <c r="AB130" s="105"/>
      <c r="AC130" s="103" t="s">
        <v>280</v>
      </c>
      <c r="AD130" s="105"/>
      <c r="AE130" s="105"/>
      <c r="AF130" s="105"/>
      <c r="AG130" s="105"/>
      <c r="AH130" s="103" t="s">
        <v>280</v>
      </c>
      <c r="AI130" s="103" t="s">
        <v>280</v>
      </c>
      <c r="AJ130" s="105"/>
      <c r="AK130" s="103" t="s">
        <v>280</v>
      </c>
    </row>
    <row r="131" spans="2:37" ht="15.75" customHeight="1">
      <c r="B131" s="85">
        <v>117</v>
      </c>
      <c r="C131" s="86" t="s">
        <v>342</v>
      </c>
      <c r="D131" s="86" t="s">
        <v>337</v>
      </c>
      <c r="E131" s="86" t="s">
        <v>211</v>
      </c>
      <c r="F131" s="86" t="s">
        <v>245</v>
      </c>
      <c r="G131" s="86" t="s">
        <v>246</v>
      </c>
      <c r="H131" s="107" t="s">
        <v>280</v>
      </c>
      <c r="I131" s="83" t="s">
        <v>280</v>
      </c>
      <c r="J131" s="83" t="s">
        <v>280</v>
      </c>
      <c r="K131" s="103" t="s">
        <v>280</v>
      </c>
      <c r="L131" s="105"/>
      <c r="M131" s="105"/>
      <c r="N131" s="103" t="s">
        <v>280</v>
      </c>
      <c r="O131" s="103" t="s">
        <v>280</v>
      </c>
      <c r="P131" s="105"/>
      <c r="Q131" s="105"/>
      <c r="R131" s="103" t="s">
        <v>280</v>
      </c>
      <c r="S131" s="105"/>
      <c r="T131" s="105"/>
      <c r="U131" s="105"/>
      <c r="V131" s="105"/>
      <c r="W131" s="105"/>
      <c r="X131" s="103" t="s">
        <v>280</v>
      </c>
      <c r="Y131" s="103" t="s">
        <v>280</v>
      </c>
      <c r="Z131" s="105"/>
      <c r="AA131" s="103" t="s">
        <v>280</v>
      </c>
      <c r="AB131" s="105"/>
      <c r="AC131" s="103" t="s">
        <v>280</v>
      </c>
      <c r="AD131" s="105"/>
      <c r="AE131" s="105"/>
      <c r="AF131" s="105"/>
      <c r="AG131" s="105"/>
      <c r="AH131" s="103" t="s">
        <v>280</v>
      </c>
      <c r="AI131" s="103" t="s">
        <v>280</v>
      </c>
      <c r="AJ131" s="105"/>
      <c r="AK131" s="103" t="s">
        <v>280</v>
      </c>
    </row>
    <row r="132" spans="2:37" ht="15.75" customHeight="1">
      <c r="B132" s="85">
        <v>118</v>
      </c>
      <c r="C132" s="86" t="s">
        <v>343</v>
      </c>
      <c r="D132" s="86" t="s">
        <v>344</v>
      </c>
      <c r="E132" s="86" t="s">
        <v>211</v>
      </c>
      <c r="F132" s="86" t="s">
        <v>245</v>
      </c>
      <c r="G132" s="86" t="s">
        <v>246</v>
      </c>
      <c r="H132" s="107" t="s">
        <v>280</v>
      </c>
      <c r="I132" s="83" t="s">
        <v>280</v>
      </c>
      <c r="J132" s="83" t="s">
        <v>280</v>
      </c>
      <c r="K132" s="103" t="s">
        <v>280</v>
      </c>
      <c r="L132" s="105"/>
      <c r="M132" s="105"/>
      <c r="N132" s="103" t="s">
        <v>280</v>
      </c>
      <c r="O132" s="103" t="s">
        <v>280</v>
      </c>
      <c r="P132" s="105"/>
      <c r="Q132" s="105"/>
      <c r="R132" s="103" t="s">
        <v>280</v>
      </c>
      <c r="S132" s="105"/>
      <c r="T132" s="105"/>
      <c r="U132" s="105"/>
      <c r="V132" s="105"/>
      <c r="W132" s="105"/>
      <c r="X132" s="103" t="s">
        <v>280</v>
      </c>
      <c r="Y132" s="103" t="s">
        <v>280</v>
      </c>
      <c r="Z132" s="105"/>
      <c r="AA132" s="103" t="s">
        <v>280</v>
      </c>
      <c r="AB132" s="105"/>
      <c r="AC132" s="103" t="s">
        <v>280</v>
      </c>
      <c r="AD132" s="105"/>
      <c r="AE132" s="105"/>
      <c r="AF132" s="105"/>
      <c r="AG132" s="105"/>
      <c r="AH132" s="103" t="s">
        <v>280</v>
      </c>
      <c r="AI132" s="103" t="s">
        <v>280</v>
      </c>
      <c r="AJ132" s="105"/>
      <c r="AK132" s="103" t="s">
        <v>280</v>
      </c>
    </row>
    <row r="133" spans="2:37" ht="15.75" customHeight="1">
      <c r="B133" s="85">
        <v>119</v>
      </c>
      <c r="C133" s="86" t="s">
        <v>345</v>
      </c>
      <c r="D133" s="86" t="s">
        <v>344</v>
      </c>
      <c r="E133" s="86" t="s">
        <v>211</v>
      </c>
      <c r="F133" s="86" t="s">
        <v>245</v>
      </c>
      <c r="G133" s="86" t="s">
        <v>246</v>
      </c>
      <c r="H133" s="107" t="s">
        <v>280</v>
      </c>
      <c r="I133" s="83" t="s">
        <v>280</v>
      </c>
      <c r="J133" s="83" t="s">
        <v>280</v>
      </c>
      <c r="K133" s="103" t="s">
        <v>280</v>
      </c>
      <c r="L133" s="105"/>
      <c r="M133" s="105"/>
      <c r="N133" s="103" t="s">
        <v>280</v>
      </c>
      <c r="O133" s="103" t="s">
        <v>280</v>
      </c>
      <c r="P133" s="105"/>
      <c r="Q133" s="105"/>
      <c r="R133" s="103" t="s">
        <v>280</v>
      </c>
      <c r="S133" s="105"/>
      <c r="T133" s="105"/>
      <c r="U133" s="105"/>
      <c r="V133" s="105"/>
      <c r="W133" s="105"/>
      <c r="X133" s="103" t="s">
        <v>280</v>
      </c>
      <c r="Y133" s="103" t="s">
        <v>280</v>
      </c>
      <c r="Z133" s="105"/>
      <c r="AA133" s="103" t="s">
        <v>280</v>
      </c>
      <c r="AB133" s="105"/>
      <c r="AC133" s="103" t="s">
        <v>280</v>
      </c>
      <c r="AD133" s="105"/>
      <c r="AE133" s="105"/>
      <c r="AF133" s="105"/>
      <c r="AG133" s="105"/>
      <c r="AH133" s="103" t="s">
        <v>280</v>
      </c>
      <c r="AI133" s="103" t="s">
        <v>280</v>
      </c>
      <c r="AJ133" s="105"/>
      <c r="AK133" s="103" t="s">
        <v>280</v>
      </c>
    </row>
    <row r="134" spans="2:37" ht="15.75" customHeight="1">
      <c r="B134" s="85">
        <v>120</v>
      </c>
      <c r="C134" s="86" t="s">
        <v>346</v>
      </c>
      <c r="D134" s="86" t="s">
        <v>347</v>
      </c>
      <c r="E134" s="86" t="s">
        <v>211</v>
      </c>
      <c r="F134" s="86" t="s">
        <v>245</v>
      </c>
      <c r="G134" s="86" t="s">
        <v>246</v>
      </c>
      <c r="H134" s="107" t="s">
        <v>280</v>
      </c>
      <c r="I134" s="83" t="s">
        <v>280</v>
      </c>
      <c r="J134" s="83" t="s">
        <v>280</v>
      </c>
      <c r="K134" s="103" t="s">
        <v>280</v>
      </c>
      <c r="L134" s="105"/>
      <c r="M134" s="105"/>
      <c r="N134" s="103" t="s">
        <v>280</v>
      </c>
      <c r="O134" s="103" t="s">
        <v>280</v>
      </c>
      <c r="P134" s="105"/>
      <c r="Q134" s="105"/>
      <c r="R134" s="103" t="s">
        <v>280</v>
      </c>
      <c r="S134" s="105"/>
      <c r="T134" s="105"/>
      <c r="U134" s="105"/>
      <c r="V134" s="105"/>
      <c r="W134" s="105"/>
      <c r="X134" s="103" t="s">
        <v>280</v>
      </c>
      <c r="Y134" s="103" t="s">
        <v>280</v>
      </c>
      <c r="Z134" s="105"/>
      <c r="AA134" s="103" t="s">
        <v>280</v>
      </c>
      <c r="AB134" s="105"/>
      <c r="AC134" s="103" t="s">
        <v>280</v>
      </c>
      <c r="AD134" s="105"/>
      <c r="AE134" s="105"/>
      <c r="AF134" s="105"/>
      <c r="AG134" s="105"/>
      <c r="AH134" s="103" t="s">
        <v>280</v>
      </c>
      <c r="AI134" s="103" t="s">
        <v>280</v>
      </c>
      <c r="AJ134" s="105"/>
      <c r="AK134" s="103" t="s">
        <v>280</v>
      </c>
    </row>
    <row r="135" spans="2:37" ht="15.75" customHeight="1">
      <c r="B135" s="85">
        <v>121</v>
      </c>
      <c r="C135" s="86" t="s">
        <v>348</v>
      </c>
      <c r="D135" s="86" t="s">
        <v>349</v>
      </c>
      <c r="E135" s="86" t="s">
        <v>211</v>
      </c>
      <c r="F135" s="86" t="s">
        <v>245</v>
      </c>
      <c r="G135" s="86" t="s">
        <v>246</v>
      </c>
      <c r="H135" s="107" t="s">
        <v>280</v>
      </c>
      <c r="I135" s="83" t="s">
        <v>280</v>
      </c>
      <c r="J135" s="83" t="s">
        <v>280</v>
      </c>
      <c r="K135" s="103" t="s">
        <v>280</v>
      </c>
      <c r="L135" s="105"/>
      <c r="M135" s="105"/>
      <c r="N135" s="103">
        <v>500</v>
      </c>
      <c r="O135" s="103">
        <v>3000</v>
      </c>
      <c r="P135" s="105"/>
      <c r="Q135" s="105"/>
      <c r="R135" s="103" t="s">
        <v>280</v>
      </c>
      <c r="S135" s="105"/>
      <c r="T135" s="105"/>
      <c r="U135" s="105"/>
      <c r="V135" s="105"/>
      <c r="W135" s="105"/>
      <c r="X135" s="103" t="s">
        <v>280</v>
      </c>
      <c r="Y135" s="103">
        <v>5000</v>
      </c>
      <c r="Z135" s="105"/>
      <c r="AA135" s="103" t="s">
        <v>280</v>
      </c>
      <c r="AB135" s="105"/>
      <c r="AC135" s="103" t="s">
        <v>280</v>
      </c>
      <c r="AD135" s="105"/>
      <c r="AE135" s="105"/>
      <c r="AF135" s="105"/>
      <c r="AG135" s="105"/>
      <c r="AH135" s="103" t="s">
        <v>280</v>
      </c>
      <c r="AI135" s="103" t="s">
        <v>280</v>
      </c>
      <c r="AJ135" s="105"/>
      <c r="AK135" s="103">
        <f>SUM(H135:AI135)</f>
        <v>8500</v>
      </c>
    </row>
    <row r="136" spans="2:37" ht="15.75" customHeight="1">
      <c r="B136" s="85">
        <v>122</v>
      </c>
      <c r="C136" s="86" t="s">
        <v>350</v>
      </c>
      <c r="D136" s="86" t="s">
        <v>349</v>
      </c>
      <c r="E136" s="86" t="s">
        <v>211</v>
      </c>
      <c r="F136" s="86" t="s">
        <v>245</v>
      </c>
      <c r="G136" s="86" t="s">
        <v>246</v>
      </c>
      <c r="H136" s="107" t="s">
        <v>280</v>
      </c>
      <c r="I136" s="83" t="s">
        <v>280</v>
      </c>
      <c r="J136" s="83" t="s">
        <v>280</v>
      </c>
      <c r="K136" s="103" t="s">
        <v>280</v>
      </c>
      <c r="L136" s="105"/>
      <c r="M136" s="105"/>
      <c r="N136" s="103">
        <v>500</v>
      </c>
      <c r="O136" s="103">
        <v>3000</v>
      </c>
      <c r="P136" s="105"/>
      <c r="Q136" s="105"/>
      <c r="R136" s="103" t="s">
        <v>280</v>
      </c>
      <c r="S136" s="105"/>
      <c r="T136" s="105"/>
      <c r="U136" s="105"/>
      <c r="V136" s="105"/>
      <c r="W136" s="105"/>
      <c r="X136" s="103" t="s">
        <v>280</v>
      </c>
      <c r="Y136" s="103">
        <v>5000</v>
      </c>
      <c r="Z136" s="105"/>
      <c r="AA136" s="103" t="s">
        <v>280</v>
      </c>
      <c r="AB136" s="105"/>
      <c r="AC136" s="103" t="s">
        <v>280</v>
      </c>
      <c r="AD136" s="105"/>
      <c r="AE136" s="105"/>
      <c r="AF136" s="105"/>
      <c r="AG136" s="105"/>
      <c r="AH136" s="103" t="s">
        <v>280</v>
      </c>
      <c r="AI136" s="103" t="s">
        <v>280</v>
      </c>
      <c r="AJ136" s="105"/>
      <c r="AK136" s="103">
        <f>SUM(H136:AI136)</f>
        <v>8500</v>
      </c>
    </row>
    <row r="137" spans="2:37" ht="15.75" customHeight="1">
      <c r="B137" s="85">
        <v>123</v>
      </c>
      <c r="C137" s="86" t="s">
        <v>351</v>
      </c>
      <c r="D137" s="86" t="s">
        <v>349</v>
      </c>
      <c r="E137" s="86" t="s">
        <v>211</v>
      </c>
      <c r="F137" s="86" t="s">
        <v>245</v>
      </c>
      <c r="G137" s="86" t="s">
        <v>246</v>
      </c>
      <c r="H137" s="107" t="s">
        <v>280</v>
      </c>
      <c r="I137" s="83" t="s">
        <v>280</v>
      </c>
      <c r="J137" s="83" t="s">
        <v>280</v>
      </c>
      <c r="K137" s="103" t="s">
        <v>280</v>
      </c>
      <c r="L137" s="105"/>
      <c r="M137" s="105"/>
      <c r="N137" s="103">
        <v>500</v>
      </c>
      <c r="O137" s="103" t="s">
        <v>280</v>
      </c>
      <c r="P137" s="105"/>
      <c r="Q137" s="105"/>
      <c r="R137" s="103" t="s">
        <v>280</v>
      </c>
      <c r="S137" s="105"/>
      <c r="T137" s="105"/>
      <c r="U137" s="105"/>
      <c r="V137" s="105"/>
      <c r="W137" s="105"/>
      <c r="X137" s="103" t="s">
        <v>280</v>
      </c>
      <c r="Y137" s="103">
        <v>5000</v>
      </c>
      <c r="Z137" s="105"/>
      <c r="AA137" s="103" t="s">
        <v>280</v>
      </c>
      <c r="AB137" s="105"/>
      <c r="AC137" s="103" t="s">
        <v>280</v>
      </c>
      <c r="AD137" s="105"/>
      <c r="AE137" s="105"/>
      <c r="AF137" s="105"/>
      <c r="AG137" s="105"/>
      <c r="AH137" s="103" t="s">
        <v>280</v>
      </c>
      <c r="AI137" s="103" t="s">
        <v>280</v>
      </c>
      <c r="AJ137" s="105"/>
      <c r="AK137" s="103">
        <f>SUM(H137:AI137)</f>
        <v>5500</v>
      </c>
    </row>
    <row r="138" spans="2:37" ht="15.75" customHeight="1">
      <c r="AK138" s="108">
        <f>SUM(AK15:AK137)</f>
        <v>23135345.550000008</v>
      </c>
    </row>
    <row r="139" spans="2:37" ht="15.75" customHeight="1"/>
    <row r="140" spans="2:37" ht="15.75" customHeight="1"/>
    <row r="141" spans="2:37" ht="15.75" customHeight="1"/>
    <row r="142" spans="2:37" ht="15.75" customHeight="1"/>
    <row r="143" spans="2:37" ht="15.75" customHeight="1"/>
    <row r="144" spans="2:37"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sheetData>
  <sheetProtection formatColumns="0" formatRows="0" sort="0" autoFilter="0"/>
  <dataValidations count="2">
    <dataValidation type="list" allowBlank="1" showInputMessage="1" showErrorMessage="1" sqref="C12">
      <formula1>"Level I, Level II and III"</formula1>
    </dataValidation>
    <dataValidation operator="greaterThanOrEqual" allowBlank="1" showInputMessage="1" showErrorMessage="1" sqref="E58:E253"/>
  </dataValidations>
  <pageMargins left="0.7" right="0.7" top="0.75" bottom="0.75" header="0" footer="0"/>
  <pageSetup orientation="landscape" r:id="rId1"/>
  <legacyDrawing r:id="rId2"/>
  <extLst xmlns:x14="http://schemas.microsoft.com/office/spreadsheetml/2009/9/main">
    <ext uri="{CCE6A557-97BC-4b89-ADB6-D9C93CAAB3DF}">
      <x14:dataValidations xmlns:xm="http://schemas.microsoft.com/office/excel/2006/main" count="1">
        <x14:dataValidation type="list" operator="greaterThanOrEqual" allowBlank="1" showInputMessage="1" showErrorMessage="1">
          <x14:formula1>
            <xm:f>SelectDept!$B$2:$B$67</xm:f>
          </x14:formula1>
          <xm:sqref>E15:E57</xm:sqref>
        </x14:dataValidation>
      </x14:dataValidations>
    </ext>
  </extLst>
</worksheet>
</file>

<file path=xl/worksheets/sheet2.xml><?xml version="1.0" encoding="utf-8"?>
<worksheet xmlns="http://schemas.openxmlformats.org/spreadsheetml/2006/main" xmlns:r="http://schemas.openxmlformats.org/officeDocument/2006/relationships">
  <sheetPr codeName="Sheet2">
    <tabColor rgb="FF0070C0"/>
  </sheetPr>
  <dimension ref="A1:DQ1004"/>
  <sheetViews>
    <sheetView tabSelected="1" topLeftCell="A51" workbookViewId="0">
      <selection activeCell="F65" sqref="F65"/>
    </sheetView>
  </sheetViews>
  <sheetFormatPr defaultColWidth="14.42578125" defaultRowHeight="15" customHeight="1"/>
  <cols>
    <col min="1" max="1" width="3.7109375" style="3" customWidth="1"/>
    <col min="2" max="2" width="55.28515625" style="3" customWidth="1"/>
    <col min="3" max="3" width="38.7109375" style="3" customWidth="1"/>
    <col min="4" max="5" width="8.7109375" style="3" customWidth="1"/>
    <col min="6" max="6" width="58" style="3" customWidth="1"/>
    <col min="7" max="13" width="8.7109375" style="3" customWidth="1"/>
    <col min="14" max="16384" width="14.42578125" style="3"/>
  </cols>
  <sheetData>
    <row r="1" spans="1:121" ht="12.75" customHeight="1">
      <c r="A1" s="1"/>
      <c r="B1" s="1"/>
      <c r="C1" s="1"/>
      <c r="D1" s="1"/>
      <c r="E1" s="1"/>
      <c r="F1" s="1"/>
      <c r="G1" s="1"/>
      <c r="H1" s="1"/>
      <c r="I1" s="1"/>
      <c r="J1" s="1"/>
      <c r="K1" s="1"/>
      <c r="L1" s="1"/>
      <c r="M1" s="1"/>
    </row>
    <row r="2" spans="1:121" s="60" customFormat="1" ht="16.5">
      <c r="B2" s="61" t="s">
        <v>0</v>
      </c>
      <c r="C2" s="62"/>
      <c r="D2" s="62"/>
      <c r="E2" s="63"/>
      <c r="F2" s="63"/>
      <c r="G2" s="63"/>
      <c r="H2" s="63"/>
      <c r="I2" s="63"/>
      <c r="J2" s="63"/>
      <c r="K2" s="63"/>
      <c r="L2" s="63"/>
      <c r="M2" s="63"/>
      <c r="N2" s="63"/>
      <c r="O2" s="63"/>
      <c r="P2" s="63"/>
      <c r="Q2" s="63"/>
      <c r="R2" s="63"/>
      <c r="S2" s="63"/>
      <c r="T2" s="63"/>
      <c r="U2" s="63"/>
      <c r="V2" s="63"/>
      <c r="W2" s="63"/>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3"/>
      <c r="BB2" s="63"/>
      <c r="BC2" s="63"/>
      <c r="BD2" s="63"/>
      <c r="BE2" s="63"/>
      <c r="BF2" s="63"/>
      <c r="BG2" s="63"/>
      <c r="BH2" s="63"/>
      <c r="BI2" s="63"/>
      <c r="BJ2" s="63"/>
      <c r="BK2" s="63"/>
      <c r="BL2" s="63"/>
      <c r="BM2" s="63"/>
      <c r="BN2" s="63"/>
      <c r="BO2" s="63"/>
      <c r="BP2" s="63"/>
      <c r="BQ2" s="63"/>
      <c r="BR2" s="63"/>
      <c r="BS2" s="63"/>
      <c r="BT2" s="63"/>
      <c r="BU2" s="63"/>
      <c r="BV2" s="63"/>
      <c r="BW2" s="63"/>
      <c r="BX2" s="63"/>
      <c r="BY2" s="63"/>
      <c r="BZ2" s="63"/>
      <c r="CA2" s="63"/>
      <c r="CB2" s="63"/>
      <c r="CC2" s="63"/>
      <c r="CD2" s="63"/>
      <c r="CE2" s="63"/>
      <c r="CF2" s="63"/>
      <c r="CG2" s="63"/>
      <c r="CH2" s="63"/>
      <c r="CI2" s="63"/>
      <c r="CJ2" s="63"/>
      <c r="CK2" s="63"/>
      <c r="CL2" s="63"/>
      <c r="CM2" s="63"/>
      <c r="CN2" s="63"/>
      <c r="CO2" s="63"/>
      <c r="CP2" s="63"/>
      <c r="CQ2" s="63"/>
      <c r="CR2" s="63"/>
      <c r="CS2" s="63"/>
      <c r="CT2" s="63"/>
      <c r="CU2" s="63"/>
      <c r="CV2" s="63"/>
      <c r="CW2" s="63"/>
      <c r="CX2" s="63"/>
      <c r="CY2" s="63"/>
      <c r="CZ2" s="63"/>
      <c r="DA2" s="63"/>
      <c r="DB2" s="63"/>
      <c r="DC2" s="63"/>
      <c r="DD2" s="63"/>
      <c r="DE2" s="63"/>
      <c r="DF2" s="63"/>
      <c r="DG2" s="63"/>
      <c r="DH2" s="63"/>
      <c r="DI2" s="63"/>
      <c r="DJ2" s="63"/>
      <c r="DK2" s="63"/>
      <c r="DL2" s="63"/>
      <c r="DM2" s="63"/>
      <c r="DN2" s="63"/>
      <c r="DO2" s="63"/>
      <c r="DP2" s="63"/>
      <c r="DQ2" s="63"/>
    </row>
    <row r="3" spans="1:121" ht="12.75" customHeight="1">
      <c r="A3" s="1"/>
      <c r="B3" s="2"/>
      <c r="C3" s="1"/>
      <c r="D3" s="1"/>
      <c r="E3" s="1"/>
      <c r="F3" s="1"/>
      <c r="G3" s="1"/>
      <c r="H3" s="1"/>
      <c r="I3" s="1"/>
      <c r="J3" s="1"/>
      <c r="K3" s="1"/>
      <c r="L3" s="1"/>
      <c r="M3" s="1"/>
    </row>
    <row r="4" spans="1:121" ht="12.75" customHeight="1">
      <c r="A4" s="1"/>
      <c r="B4" s="89" t="s">
        <v>115</v>
      </c>
      <c r="C4" s="90"/>
      <c r="D4" s="1"/>
      <c r="E4" s="1"/>
      <c r="F4" s="1"/>
      <c r="G4" s="1"/>
      <c r="H4" s="1"/>
      <c r="I4" s="1"/>
      <c r="J4" s="1"/>
      <c r="K4" s="1"/>
      <c r="L4" s="1"/>
      <c r="M4" s="1"/>
    </row>
    <row r="5" spans="1:121" ht="28.15" customHeight="1">
      <c r="A5" s="1"/>
      <c r="B5" s="91" t="s">
        <v>117</v>
      </c>
      <c r="C5" s="92"/>
      <c r="D5" s="1"/>
      <c r="E5" s="1"/>
      <c r="F5" s="1"/>
      <c r="G5" s="1"/>
      <c r="H5" s="1"/>
      <c r="I5" s="1"/>
      <c r="J5" s="1"/>
      <c r="K5" s="1"/>
      <c r="L5" s="1"/>
      <c r="M5" s="1"/>
    </row>
    <row r="6" spans="1:121" ht="12.75" customHeight="1">
      <c r="A6" s="1"/>
      <c r="B6" s="91" t="s">
        <v>116</v>
      </c>
      <c r="C6" s="92"/>
      <c r="D6" s="1"/>
      <c r="E6" s="1"/>
      <c r="F6" s="1"/>
      <c r="G6" s="1"/>
      <c r="H6" s="1"/>
      <c r="I6" s="1"/>
      <c r="J6" s="1"/>
      <c r="K6" s="1"/>
      <c r="L6" s="1"/>
      <c r="M6" s="1"/>
    </row>
    <row r="7" spans="1:121" ht="29.85" customHeight="1">
      <c r="A7" s="1"/>
      <c r="B7" s="93" t="s">
        <v>206</v>
      </c>
      <c r="C7" s="94"/>
      <c r="D7" s="1"/>
      <c r="E7" s="1"/>
      <c r="F7" s="1"/>
      <c r="G7" s="1"/>
      <c r="H7" s="1"/>
      <c r="I7" s="1"/>
      <c r="J7" s="1"/>
      <c r="K7" s="1"/>
      <c r="L7" s="1"/>
      <c r="M7" s="1"/>
    </row>
    <row r="8" spans="1:121" ht="12.75" customHeight="1">
      <c r="A8" s="1"/>
      <c r="B8" s="1"/>
      <c r="C8" s="1"/>
      <c r="D8" s="1"/>
      <c r="E8" s="1"/>
      <c r="F8" s="1"/>
      <c r="G8" s="1"/>
      <c r="H8" s="1"/>
      <c r="I8" s="1"/>
      <c r="J8" s="1"/>
      <c r="K8" s="1"/>
      <c r="L8" s="1"/>
      <c r="M8" s="1"/>
    </row>
    <row r="9" spans="1:121" ht="12.75" customHeight="1">
      <c r="A9" s="1"/>
      <c r="B9" s="1"/>
      <c r="C9" s="1"/>
      <c r="D9" s="1"/>
      <c r="E9" s="1"/>
      <c r="F9" s="1"/>
      <c r="G9" s="1"/>
      <c r="H9" s="1"/>
      <c r="I9" s="1"/>
      <c r="J9" s="1"/>
      <c r="K9" s="1"/>
      <c r="L9" s="1"/>
      <c r="M9" s="1"/>
    </row>
    <row r="10" spans="1:121" ht="24.75" customHeight="1">
      <c r="A10" s="1"/>
      <c r="B10" s="14" t="s">
        <v>121</v>
      </c>
      <c r="C10" s="4" t="s">
        <v>6</v>
      </c>
      <c r="D10" s="1"/>
      <c r="E10" s="1"/>
      <c r="F10" s="1"/>
      <c r="G10" s="1"/>
      <c r="H10" s="1"/>
      <c r="I10" s="1"/>
      <c r="J10" s="1"/>
      <c r="K10" s="1"/>
      <c r="L10" s="1"/>
      <c r="M10" s="1"/>
    </row>
    <row r="11" spans="1:121" ht="12.75" customHeight="1">
      <c r="A11" s="1"/>
      <c r="B11" s="5" t="s">
        <v>7</v>
      </c>
      <c r="C11" s="64"/>
      <c r="D11" s="1"/>
      <c r="E11" s="1"/>
      <c r="F11" s="1"/>
      <c r="G11" s="1"/>
      <c r="H11" s="1"/>
      <c r="I11" s="1"/>
      <c r="J11" s="1"/>
      <c r="K11" s="1"/>
      <c r="L11" s="1"/>
      <c r="M11" s="1"/>
    </row>
    <row r="12" spans="1:121" ht="12.75" customHeight="1">
      <c r="A12" s="1"/>
      <c r="B12" s="5" t="s">
        <v>8</v>
      </c>
      <c r="C12" s="64"/>
      <c r="D12" s="1"/>
      <c r="E12" s="1"/>
      <c r="F12" s="1"/>
      <c r="G12" s="1"/>
      <c r="H12" s="1"/>
      <c r="I12" s="1"/>
      <c r="J12" s="1"/>
      <c r="K12" s="1"/>
      <c r="L12" s="1"/>
      <c r="M12" s="1"/>
    </row>
    <row r="13" spans="1:121" ht="12.75" customHeight="1">
      <c r="A13" s="1"/>
      <c r="B13" s="5" t="s">
        <v>9</v>
      </c>
      <c r="C13" s="79">
        <v>21256.17</v>
      </c>
      <c r="D13" s="1"/>
      <c r="E13" s="1"/>
      <c r="F13" s="1"/>
      <c r="G13" s="1"/>
      <c r="H13" s="1"/>
      <c r="I13" s="1"/>
      <c r="J13" s="1"/>
      <c r="K13" s="1"/>
      <c r="L13" s="1"/>
      <c r="M13" s="1"/>
    </row>
    <row r="14" spans="1:121" ht="12.75" customHeight="1">
      <c r="A14" s="1"/>
      <c r="B14" s="5" t="s">
        <v>10</v>
      </c>
      <c r="C14" s="79">
        <v>6600</v>
      </c>
      <c r="D14" s="1"/>
      <c r="E14" s="1"/>
      <c r="F14" s="1"/>
      <c r="G14" s="1"/>
      <c r="H14" s="1"/>
      <c r="I14" s="1"/>
      <c r="J14" s="1"/>
      <c r="K14" s="1"/>
      <c r="L14" s="1"/>
      <c r="M14" s="1"/>
    </row>
    <row r="15" spans="1:121" ht="12.75" customHeight="1">
      <c r="A15" s="1"/>
      <c r="B15" s="6" t="s">
        <v>11</v>
      </c>
      <c r="C15" s="79"/>
      <c r="D15" s="1"/>
      <c r="E15" s="1"/>
      <c r="F15" s="1"/>
      <c r="G15" s="1"/>
      <c r="H15" s="1"/>
      <c r="I15" s="1"/>
      <c r="J15" s="1"/>
      <c r="K15" s="1"/>
      <c r="L15" s="1"/>
      <c r="M15" s="1"/>
    </row>
    <row r="16" spans="1:121" ht="12.75" customHeight="1">
      <c r="A16" s="1"/>
      <c r="B16" s="6" t="s">
        <v>35</v>
      </c>
      <c r="C16" s="79"/>
      <c r="D16" s="1"/>
      <c r="E16" s="1"/>
      <c r="F16" s="1"/>
      <c r="G16" s="1"/>
      <c r="H16" s="1"/>
      <c r="I16" s="1"/>
      <c r="J16" s="1"/>
      <c r="K16" s="1"/>
      <c r="L16" s="1"/>
      <c r="M16" s="1"/>
    </row>
    <row r="17" spans="1:13" ht="12.75" customHeight="1">
      <c r="A17" s="1"/>
      <c r="B17" s="6" t="s">
        <v>41</v>
      </c>
      <c r="C17" s="79">
        <v>16718764.08</v>
      </c>
      <c r="D17" s="1"/>
      <c r="E17" s="1"/>
      <c r="F17" s="1"/>
      <c r="G17" s="1"/>
      <c r="H17" s="1"/>
      <c r="I17" s="1"/>
      <c r="J17" s="1"/>
      <c r="K17" s="1"/>
      <c r="L17" s="1"/>
      <c r="M17" s="1"/>
    </row>
    <row r="18" spans="1:13" ht="12.75" customHeight="1">
      <c r="A18" s="1"/>
      <c r="B18" s="6" t="s">
        <v>46</v>
      </c>
      <c r="C18" s="79"/>
      <c r="D18" s="1"/>
      <c r="E18" s="1"/>
      <c r="F18" s="1"/>
      <c r="G18" s="1"/>
      <c r="H18" s="1"/>
      <c r="I18" s="1"/>
      <c r="J18" s="1"/>
      <c r="K18" s="1"/>
      <c r="L18" s="1"/>
      <c r="M18" s="1"/>
    </row>
    <row r="19" spans="1:13" ht="12.75" customHeight="1">
      <c r="A19" s="1"/>
      <c r="B19" s="5" t="s">
        <v>47</v>
      </c>
      <c r="C19" s="79">
        <v>348250</v>
      </c>
      <c r="D19" s="1"/>
      <c r="E19" s="1"/>
      <c r="F19" s="1"/>
      <c r="G19" s="1"/>
      <c r="H19" s="1"/>
      <c r="I19" s="1"/>
      <c r="J19" s="1"/>
      <c r="K19" s="1"/>
      <c r="L19" s="1"/>
      <c r="M19" s="1"/>
    </row>
    <row r="20" spans="1:13" ht="12.75" customHeight="1">
      <c r="A20" s="1"/>
      <c r="B20" s="5" t="s">
        <v>48</v>
      </c>
      <c r="C20" s="79"/>
      <c r="D20" s="1"/>
      <c r="E20" s="1"/>
      <c r="F20" s="1"/>
      <c r="G20" s="1"/>
      <c r="H20" s="1"/>
      <c r="I20" s="1"/>
      <c r="J20" s="1"/>
      <c r="K20" s="1"/>
      <c r="L20" s="1"/>
      <c r="M20" s="1"/>
    </row>
    <row r="21" spans="1:13" ht="12.75" customHeight="1">
      <c r="A21" s="1"/>
      <c r="B21" s="5" t="s">
        <v>49</v>
      </c>
      <c r="C21" s="79">
        <v>202000</v>
      </c>
      <c r="D21" s="1"/>
      <c r="E21" s="1"/>
      <c r="F21" s="1"/>
      <c r="G21" s="1"/>
      <c r="H21" s="1"/>
      <c r="I21" s="1"/>
      <c r="J21" s="1"/>
      <c r="K21" s="1"/>
      <c r="L21" s="1"/>
      <c r="M21" s="1"/>
    </row>
    <row r="22" spans="1:13" ht="12.75" customHeight="1">
      <c r="A22" s="1"/>
      <c r="B22" s="5" t="s">
        <v>50</v>
      </c>
      <c r="C22" s="79">
        <v>48920418</v>
      </c>
      <c r="D22" s="1"/>
      <c r="E22" s="1"/>
      <c r="F22" s="1"/>
      <c r="G22" s="1"/>
      <c r="H22" s="1"/>
      <c r="I22" s="1"/>
      <c r="J22" s="1"/>
      <c r="K22" s="1"/>
      <c r="L22" s="1"/>
      <c r="M22" s="1"/>
    </row>
    <row r="23" spans="1:13" ht="12.75" customHeight="1">
      <c r="A23" s="1"/>
      <c r="B23" s="5" t="s">
        <v>51</v>
      </c>
      <c r="C23" s="79">
        <v>23071284</v>
      </c>
      <c r="D23" s="1"/>
      <c r="E23" s="1"/>
      <c r="F23" s="1"/>
      <c r="G23" s="1"/>
      <c r="H23" s="1"/>
      <c r="I23" s="1"/>
      <c r="J23" s="1"/>
      <c r="K23" s="1"/>
      <c r="L23" s="1"/>
      <c r="M23" s="1"/>
    </row>
    <row r="24" spans="1:13" ht="12.75" customHeight="1">
      <c r="A24" s="1"/>
      <c r="B24" s="5" t="s">
        <v>52</v>
      </c>
      <c r="C24" s="79">
        <v>287</v>
      </c>
      <c r="D24" s="1"/>
      <c r="E24" s="1"/>
      <c r="F24" s="1"/>
      <c r="G24" s="1"/>
      <c r="H24" s="1"/>
      <c r="I24" s="1"/>
      <c r="J24" s="1"/>
      <c r="K24" s="1"/>
      <c r="L24" s="1"/>
      <c r="M24" s="1"/>
    </row>
    <row r="25" spans="1:13" ht="12.75" customHeight="1">
      <c r="A25" s="1"/>
      <c r="B25" s="5" t="s">
        <v>53</v>
      </c>
      <c r="C25" s="79">
        <v>50000</v>
      </c>
      <c r="D25" s="1"/>
      <c r="E25" s="1"/>
      <c r="F25" s="1"/>
      <c r="G25" s="1"/>
      <c r="H25" s="1"/>
      <c r="I25" s="1"/>
      <c r="J25" s="1"/>
      <c r="K25" s="1"/>
      <c r="L25" s="1"/>
      <c r="M25" s="1"/>
    </row>
    <row r="26" spans="1:13" ht="12.75" customHeight="1">
      <c r="A26" s="1"/>
      <c r="B26" s="5" t="s">
        <v>54</v>
      </c>
      <c r="C26" s="79"/>
      <c r="D26" s="1"/>
      <c r="E26" s="1"/>
      <c r="F26" s="1"/>
      <c r="G26" s="1"/>
      <c r="H26" s="1"/>
      <c r="I26" s="1"/>
      <c r="J26" s="1"/>
      <c r="K26" s="1"/>
      <c r="L26" s="1"/>
      <c r="M26" s="1"/>
    </row>
    <row r="27" spans="1:13" ht="12.75" customHeight="1">
      <c r="A27" s="1"/>
      <c r="B27" s="5" t="s">
        <v>55</v>
      </c>
      <c r="C27" s="79">
        <v>201870</v>
      </c>
      <c r="D27" s="1"/>
      <c r="E27" s="1"/>
      <c r="F27" s="1"/>
      <c r="G27" s="1"/>
      <c r="H27" s="1"/>
      <c r="I27" s="1"/>
      <c r="J27" s="1"/>
      <c r="K27" s="1"/>
      <c r="L27" s="1"/>
      <c r="M27" s="1"/>
    </row>
    <row r="28" spans="1:13" ht="12.75" customHeight="1">
      <c r="A28" s="1"/>
      <c r="B28" s="5" t="s">
        <v>56</v>
      </c>
      <c r="C28" s="80">
        <v>345000</v>
      </c>
      <c r="D28" s="1"/>
      <c r="E28" s="1"/>
      <c r="F28" s="1"/>
      <c r="G28" s="1"/>
      <c r="H28" s="1"/>
      <c r="I28" s="1"/>
      <c r="J28" s="1"/>
      <c r="K28" s="1"/>
      <c r="L28" s="1"/>
      <c r="M28" s="1"/>
    </row>
    <row r="29" spans="1:13" ht="12.75" customHeight="1">
      <c r="A29" s="1"/>
      <c r="B29" s="5" t="s">
        <v>57</v>
      </c>
      <c r="C29" s="81"/>
      <c r="D29" s="1"/>
      <c r="E29" s="1"/>
      <c r="F29" s="1"/>
      <c r="G29" s="1"/>
      <c r="H29" s="1"/>
      <c r="I29" s="1"/>
      <c r="J29" s="1"/>
      <c r="K29" s="1"/>
      <c r="L29" s="1"/>
      <c r="M29" s="1"/>
    </row>
    <row r="30" spans="1:13" ht="12.75" customHeight="1">
      <c r="A30" s="1"/>
      <c r="B30" s="59"/>
      <c r="C30" s="81"/>
      <c r="D30" s="1"/>
      <c r="E30" s="1"/>
      <c r="F30" s="1"/>
      <c r="G30" s="1"/>
      <c r="H30" s="1"/>
      <c r="I30" s="1"/>
      <c r="J30" s="1"/>
      <c r="K30" s="1"/>
      <c r="L30" s="1"/>
      <c r="M30" s="1"/>
    </row>
    <row r="31" spans="1:13" ht="12.75" customHeight="1">
      <c r="A31" s="1"/>
      <c r="B31" s="59"/>
      <c r="C31" s="81"/>
      <c r="D31" s="1"/>
      <c r="E31" s="1"/>
      <c r="F31" s="1"/>
      <c r="G31" s="1"/>
      <c r="H31" s="1"/>
      <c r="I31" s="1"/>
      <c r="J31" s="1"/>
      <c r="K31" s="1"/>
      <c r="L31" s="1"/>
      <c r="M31" s="1"/>
    </row>
    <row r="32" spans="1:13" ht="12.75" customHeight="1">
      <c r="A32" s="1"/>
      <c r="B32" s="59"/>
      <c r="C32" s="81"/>
      <c r="D32" s="1"/>
      <c r="E32" s="1"/>
      <c r="F32" s="1"/>
      <c r="G32" s="1"/>
      <c r="H32" s="1"/>
      <c r="I32" s="1"/>
      <c r="J32" s="1"/>
      <c r="K32" s="1"/>
      <c r="L32" s="1"/>
      <c r="M32" s="1"/>
    </row>
    <row r="33" spans="1:13" ht="12.75" customHeight="1">
      <c r="A33" s="1"/>
      <c r="B33" s="59"/>
      <c r="C33" s="64"/>
      <c r="D33" s="1"/>
      <c r="E33" s="1"/>
      <c r="F33" s="1"/>
      <c r="G33" s="1"/>
      <c r="H33" s="1"/>
      <c r="I33" s="1"/>
      <c r="J33" s="1"/>
      <c r="K33" s="1"/>
      <c r="L33" s="1"/>
      <c r="M33" s="1"/>
    </row>
    <row r="34" spans="1:13" ht="12.75" customHeight="1">
      <c r="A34" s="1"/>
      <c r="B34" s="8" t="s">
        <v>58</v>
      </c>
      <c r="C34" s="81">
        <f>SUM(C13:C31)</f>
        <v>89885729.25</v>
      </c>
      <c r="D34" s="1"/>
      <c r="E34" s="1"/>
      <c r="F34" s="1"/>
      <c r="G34" s="1"/>
      <c r="H34" s="1"/>
      <c r="I34" s="1"/>
      <c r="J34" s="1"/>
      <c r="K34" s="1"/>
      <c r="L34" s="1"/>
      <c r="M34" s="1"/>
    </row>
    <row r="35" spans="1:13" ht="12.75" customHeight="1">
      <c r="A35" s="1"/>
      <c r="B35" s="1"/>
      <c r="C35" s="1"/>
      <c r="D35" s="1"/>
      <c r="E35" s="1"/>
      <c r="F35" s="1"/>
      <c r="G35" s="1"/>
      <c r="H35" s="1"/>
      <c r="I35" s="1"/>
      <c r="J35" s="1"/>
      <c r="K35" s="1"/>
      <c r="L35" s="1"/>
      <c r="M35" s="1"/>
    </row>
    <row r="36" spans="1:13" ht="12.75" customHeight="1">
      <c r="A36" s="1"/>
      <c r="B36" s="1"/>
      <c r="C36" s="1"/>
      <c r="D36" s="1"/>
      <c r="E36" s="1"/>
      <c r="F36" s="1"/>
      <c r="G36" s="1"/>
      <c r="H36" s="1"/>
      <c r="I36" s="1"/>
      <c r="J36" s="1"/>
      <c r="K36" s="1"/>
      <c r="L36" s="1"/>
      <c r="M36" s="1"/>
    </row>
    <row r="37" spans="1:13" ht="12.75" customHeight="1">
      <c r="A37" s="1"/>
      <c r="B37" s="1"/>
      <c r="C37" s="1"/>
      <c r="D37" s="1"/>
      <c r="E37" s="1"/>
      <c r="F37" s="1"/>
      <c r="G37" s="1"/>
      <c r="H37" s="1"/>
      <c r="I37" s="1"/>
      <c r="J37" s="1"/>
      <c r="K37" s="1"/>
      <c r="L37" s="1"/>
      <c r="M37" s="1"/>
    </row>
    <row r="38" spans="1:13" ht="24" customHeight="1">
      <c r="A38" s="1"/>
      <c r="B38" s="15" t="s">
        <v>59</v>
      </c>
      <c r="C38" s="16" t="s">
        <v>6</v>
      </c>
      <c r="D38" s="1"/>
      <c r="E38" s="1"/>
      <c r="F38" s="1"/>
      <c r="G38" s="1"/>
      <c r="H38" s="1"/>
      <c r="I38" s="1"/>
      <c r="J38" s="1"/>
      <c r="K38" s="1"/>
      <c r="L38" s="1"/>
      <c r="M38" s="1"/>
    </row>
    <row r="39" spans="1:13" ht="12.75" customHeight="1">
      <c r="A39" s="1"/>
      <c r="B39" s="7" t="s">
        <v>122</v>
      </c>
      <c r="C39" s="64"/>
      <c r="D39" s="1"/>
      <c r="E39" s="1"/>
      <c r="F39" s="1"/>
      <c r="G39" s="1"/>
      <c r="H39" s="1"/>
      <c r="I39" s="1"/>
      <c r="J39" s="1"/>
      <c r="K39" s="1"/>
      <c r="L39" s="1"/>
      <c r="M39" s="1"/>
    </row>
    <row r="40" spans="1:13" ht="12.75" customHeight="1">
      <c r="A40" s="1"/>
      <c r="B40" s="5" t="s">
        <v>60</v>
      </c>
      <c r="C40" s="81">
        <v>6487437.7000000002</v>
      </c>
      <c r="D40" s="1"/>
      <c r="E40" s="1"/>
      <c r="F40" s="1"/>
      <c r="G40" s="1"/>
      <c r="H40" s="1"/>
      <c r="I40" s="1"/>
      <c r="J40" s="1"/>
      <c r="K40" s="1"/>
      <c r="L40" s="1"/>
      <c r="M40" s="1"/>
    </row>
    <row r="41" spans="1:13" ht="12.75" customHeight="1">
      <c r="A41" s="1"/>
      <c r="B41" s="5" t="s">
        <v>61</v>
      </c>
      <c r="C41" s="81">
        <v>2780331.3</v>
      </c>
      <c r="D41" s="1"/>
      <c r="E41" s="1"/>
      <c r="F41" s="1"/>
      <c r="G41" s="1"/>
      <c r="H41" s="1"/>
      <c r="I41" s="1"/>
      <c r="J41" s="1"/>
      <c r="K41" s="1"/>
      <c r="L41" s="1"/>
      <c r="M41" s="1"/>
    </row>
    <row r="42" spans="1:13" ht="12.75" customHeight="1">
      <c r="A42" s="1"/>
      <c r="B42" s="5" t="s">
        <v>18</v>
      </c>
      <c r="C42" s="81"/>
      <c r="D42" s="1"/>
      <c r="E42" s="1"/>
      <c r="F42" s="1"/>
      <c r="G42" s="1"/>
      <c r="H42" s="1"/>
      <c r="I42" s="1"/>
      <c r="J42" s="1"/>
      <c r="K42" s="1"/>
      <c r="L42" s="1"/>
      <c r="M42" s="1"/>
    </row>
    <row r="43" spans="1:13" ht="12.75" customHeight="1">
      <c r="A43" s="1"/>
      <c r="B43" s="5" t="s">
        <v>19</v>
      </c>
      <c r="C43" s="81">
        <v>1679061</v>
      </c>
      <c r="D43" s="1"/>
      <c r="E43" s="1"/>
      <c r="F43" s="1"/>
      <c r="G43" s="1"/>
      <c r="H43" s="1"/>
      <c r="I43" s="1"/>
      <c r="J43" s="1"/>
      <c r="K43" s="1"/>
      <c r="L43" s="1"/>
      <c r="M43" s="1"/>
    </row>
    <row r="44" spans="1:13" ht="12.75" customHeight="1">
      <c r="A44" s="1"/>
      <c r="B44" s="5" t="s">
        <v>20</v>
      </c>
      <c r="C44" s="81">
        <v>97963</v>
      </c>
      <c r="D44" s="1"/>
      <c r="E44" s="1"/>
      <c r="F44" s="1"/>
      <c r="G44" s="1"/>
      <c r="H44" s="1"/>
      <c r="I44" s="1"/>
      <c r="J44" s="1"/>
      <c r="K44" s="1"/>
      <c r="L44" s="1"/>
      <c r="M44" s="1"/>
    </row>
    <row r="45" spans="1:13" ht="12.75" customHeight="1">
      <c r="A45" s="1"/>
      <c r="B45" s="5" t="s">
        <v>21</v>
      </c>
      <c r="C45" s="81">
        <v>210000</v>
      </c>
      <c r="D45" s="1"/>
      <c r="E45" s="1"/>
      <c r="F45" s="1"/>
      <c r="G45" s="1"/>
      <c r="H45" s="1"/>
      <c r="I45" s="1"/>
      <c r="J45" s="1"/>
      <c r="K45" s="1"/>
      <c r="L45" s="1"/>
      <c r="M45" s="1"/>
    </row>
    <row r="46" spans="1:13" ht="12.75" customHeight="1">
      <c r="A46" s="1"/>
      <c r="B46" s="5" t="s">
        <v>22</v>
      </c>
      <c r="C46" s="81">
        <v>60000</v>
      </c>
      <c r="D46" s="1"/>
      <c r="E46" s="1"/>
      <c r="F46" s="1"/>
      <c r="G46" s="1"/>
      <c r="H46" s="1"/>
      <c r="I46" s="1"/>
      <c r="J46" s="1"/>
      <c r="K46" s="1"/>
      <c r="L46" s="1"/>
      <c r="M46" s="1"/>
    </row>
    <row r="47" spans="1:13" ht="12.75" customHeight="1">
      <c r="A47" s="1"/>
      <c r="B47" s="5" t="s">
        <v>23</v>
      </c>
      <c r="C47" s="81">
        <v>360000</v>
      </c>
      <c r="D47" s="1"/>
      <c r="E47" s="1"/>
      <c r="F47" s="1"/>
      <c r="G47" s="1"/>
      <c r="H47" s="1"/>
      <c r="I47" s="1"/>
      <c r="J47" s="1"/>
      <c r="K47" s="1"/>
      <c r="L47" s="1"/>
      <c r="M47" s="1"/>
    </row>
    <row r="48" spans="1:13" ht="12.75" customHeight="1">
      <c r="A48" s="1"/>
      <c r="B48" s="5" t="s">
        <v>24</v>
      </c>
      <c r="C48" s="64"/>
      <c r="D48" s="1"/>
      <c r="E48" s="1"/>
      <c r="F48" s="1"/>
      <c r="G48" s="1"/>
      <c r="H48" s="1"/>
      <c r="I48" s="1"/>
      <c r="J48" s="1"/>
      <c r="K48" s="1"/>
      <c r="L48" s="1"/>
      <c r="M48" s="1"/>
    </row>
    <row r="49" spans="1:13" ht="12.75" customHeight="1">
      <c r="A49" s="1"/>
      <c r="B49" s="5" t="s">
        <v>62</v>
      </c>
      <c r="C49" s="64"/>
      <c r="D49" s="1"/>
      <c r="E49" s="1"/>
      <c r="F49" s="1"/>
      <c r="G49" s="1"/>
      <c r="H49" s="1"/>
      <c r="I49" s="1"/>
      <c r="J49" s="1"/>
      <c r="K49" s="1"/>
      <c r="L49" s="1"/>
      <c r="M49" s="1"/>
    </row>
    <row r="50" spans="1:13" ht="12.75" customHeight="1">
      <c r="A50" s="1"/>
      <c r="B50" s="5" t="s">
        <v>26</v>
      </c>
      <c r="C50" s="64"/>
      <c r="D50" s="1"/>
      <c r="E50" s="1"/>
      <c r="F50" s="1"/>
      <c r="G50" s="1"/>
      <c r="H50" s="1"/>
      <c r="I50" s="1"/>
      <c r="J50" s="1"/>
      <c r="K50" s="1"/>
      <c r="L50" s="1"/>
      <c r="M50" s="1"/>
    </row>
    <row r="51" spans="1:13" ht="12.75" customHeight="1">
      <c r="A51" s="1"/>
      <c r="B51" s="5" t="s">
        <v>27</v>
      </c>
      <c r="C51" s="64"/>
      <c r="D51" s="1"/>
      <c r="E51" s="1"/>
      <c r="F51" s="1"/>
      <c r="G51" s="1"/>
      <c r="H51" s="1"/>
      <c r="I51" s="1"/>
      <c r="J51" s="1"/>
      <c r="K51" s="1"/>
      <c r="L51" s="1"/>
      <c r="M51" s="1"/>
    </row>
    <row r="52" spans="1:13" ht="12.75" customHeight="1">
      <c r="A52" s="1"/>
      <c r="B52" s="5" t="s">
        <v>28</v>
      </c>
      <c r="C52" s="64"/>
      <c r="D52" s="1"/>
      <c r="E52" s="1"/>
      <c r="F52" s="1"/>
      <c r="G52" s="1"/>
      <c r="H52" s="1"/>
      <c r="I52" s="1"/>
      <c r="J52" s="1"/>
      <c r="K52" s="1"/>
      <c r="L52" s="1"/>
      <c r="M52" s="1"/>
    </row>
    <row r="53" spans="1:13" ht="12.75" customHeight="1">
      <c r="A53" s="1"/>
      <c r="B53" s="5" t="s">
        <v>29</v>
      </c>
      <c r="C53" s="64"/>
      <c r="D53" s="1"/>
      <c r="E53" s="1"/>
      <c r="F53" s="1"/>
      <c r="G53" s="1"/>
      <c r="H53" s="1"/>
      <c r="I53" s="1"/>
      <c r="J53" s="1"/>
      <c r="K53" s="1"/>
      <c r="L53" s="1"/>
      <c r="M53" s="1"/>
    </row>
    <row r="54" spans="1:13" ht="12.75" customHeight="1">
      <c r="A54" s="1"/>
      <c r="B54" s="5" t="s">
        <v>30</v>
      </c>
      <c r="C54" s="64"/>
      <c r="D54" s="1"/>
      <c r="E54" s="1"/>
      <c r="F54" s="1"/>
      <c r="G54" s="1"/>
      <c r="H54" s="1"/>
      <c r="I54" s="1"/>
      <c r="J54" s="1"/>
      <c r="K54" s="1"/>
      <c r="L54" s="1"/>
      <c r="M54" s="1"/>
    </row>
    <row r="55" spans="1:13" ht="12.75" customHeight="1">
      <c r="A55" s="1"/>
      <c r="B55" s="5" t="s">
        <v>31</v>
      </c>
      <c r="C55" s="81">
        <v>90112308</v>
      </c>
      <c r="D55" s="1"/>
      <c r="E55" s="1"/>
      <c r="F55" s="1"/>
      <c r="G55" s="1"/>
      <c r="H55" s="1"/>
      <c r="I55" s="1"/>
      <c r="J55" s="1"/>
      <c r="K55" s="1"/>
      <c r="L55" s="1"/>
      <c r="M55" s="1"/>
    </row>
    <row r="56" spans="1:13" ht="12.75" customHeight="1">
      <c r="A56" s="1"/>
      <c r="B56" s="5" t="s">
        <v>32</v>
      </c>
      <c r="C56" s="81">
        <v>677104.64000000001</v>
      </c>
      <c r="D56" s="1"/>
      <c r="E56" s="1"/>
      <c r="F56" s="1"/>
      <c r="G56" s="1"/>
      <c r="H56" s="1"/>
      <c r="I56" s="1"/>
      <c r="J56" s="1"/>
      <c r="K56" s="1"/>
      <c r="L56" s="1"/>
      <c r="M56" s="1"/>
    </row>
    <row r="57" spans="1:13" ht="12.75" customHeight="1">
      <c r="A57" s="1"/>
      <c r="B57" s="5" t="s">
        <v>33</v>
      </c>
      <c r="C57" s="81"/>
      <c r="D57" s="1"/>
      <c r="E57" s="1"/>
      <c r="F57" s="1"/>
      <c r="G57" s="1"/>
      <c r="H57" s="1"/>
      <c r="I57" s="1"/>
      <c r="J57" s="1"/>
      <c r="K57" s="1"/>
      <c r="L57" s="1"/>
      <c r="M57" s="1"/>
    </row>
    <row r="58" spans="1:13" ht="12.75" customHeight="1">
      <c r="A58" s="1"/>
      <c r="B58" s="5" t="s">
        <v>34</v>
      </c>
      <c r="C58" s="81"/>
      <c r="D58" s="1"/>
      <c r="E58" s="1"/>
      <c r="F58" s="1"/>
      <c r="G58" s="1"/>
      <c r="H58" s="1"/>
      <c r="I58" s="1"/>
      <c r="J58" s="1"/>
      <c r="K58" s="1"/>
      <c r="L58" s="1"/>
      <c r="M58" s="1"/>
    </row>
    <row r="59" spans="1:13" ht="12.75" customHeight="1">
      <c r="A59" s="1"/>
      <c r="B59" s="5" t="s">
        <v>36</v>
      </c>
      <c r="C59" s="81">
        <v>60500</v>
      </c>
      <c r="D59" s="1"/>
      <c r="E59" s="1"/>
      <c r="F59" s="1"/>
      <c r="G59" s="1"/>
      <c r="H59" s="1"/>
      <c r="I59" s="1"/>
      <c r="J59" s="1"/>
      <c r="K59" s="1"/>
      <c r="L59" s="1"/>
      <c r="M59" s="1"/>
    </row>
    <row r="60" spans="1:13" ht="12.75" customHeight="1">
      <c r="A60" s="1"/>
      <c r="B60" s="5" t="s">
        <v>37</v>
      </c>
      <c r="C60" s="81">
        <v>92375</v>
      </c>
      <c r="D60" s="1"/>
      <c r="E60" s="1"/>
      <c r="F60" s="1"/>
      <c r="G60" s="1"/>
      <c r="H60" s="1"/>
      <c r="I60" s="1"/>
      <c r="J60" s="1"/>
      <c r="K60" s="1"/>
      <c r="L60" s="1"/>
      <c r="M60" s="1"/>
    </row>
    <row r="61" spans="1:13" ht="12.75" customHeight="1">
      <c r="A61" s="1"/>
      <c r="B61" s="5" t="s">
        <v>38</v>
      </c>
      <c r="C61" s="81"/>
      <c r="D61" s="1"/>
      <c r="E61" s="1"/>
      <c r="F61" s="1"/>
      <c r="G61" s="1"/>
      <c r="H61" s="1"/>
      <c r="I61" s="1"/>
      <c r="J61" s="1"/>
      <c r="K61" s="1"/>
      <c r="L61" s="1"/>
      <c r="M61" s="1"/>
    </row>
    <row r="62" spans="1:13" ht="12.75" customHeight="1">
      <c r="A62" s="1"/>
      <c r="B62" s="5" t="s">
        <v>39</v>
      </c>
      <c r="C62" s="81"/>
      <c r="D62" s="1"/>
      <c r="E62" s="1"/>
      <c r="F62" s="1"/>
      <c r="G62" s="1"/>
      <c r="H62" s="1"/>
      <c r="I62" s="1"/>
      <c r="J62" s="1"/>
      <c r="K62" s="1"/>
      <c r="L62" s="1"/>
      <c r="M62" s="1"/>
    </row>
    <row r="63" spans="1:13" ht="12.75" customHeight="1">
      <c r="A63" s="1"/>
      <c r="B63" s="5" t="s">
        <v>40</v>
      </c>
      <c r="C63" s="81"/>
      <c r="D63" s="1"/>
      <c r="E63" s="1"/>
      <c r="F63" s="1"/>
      <c r="G63" s="1"/>
      <c r="H63" s="1"/>
      <c r="I63" s="1"/>
      <c r="J63" s="1"/>
      <c r="K63" s="1"/>
      <c r="L63" s="1"/>
      <c r="M63" s="1"/>
    </row>
    <row r="64" spans="1:13" ht="12.75" customHeight="1">
      <c r="A64" s="1"/>
      <c r="B64" s="5" t="s">
        <v>42</v>
      </c>
      <c r="C64" s="81">
        <v>550000</v>
      </c>
      <c r="D64" s="1"/>
      <c r="E64" s="1"/>
      <c r="F64" s="1"/>
      <c r="G64" s="1"/>
      <c r="H64" s="1"/>
      <c r="I64" s="1"/>
      <c r="J64" s="1"/>
      <c r="K64" s="1"/>
      <c r="L64" s="1"/>
      <c r="M64" s="1"/>
    </row>
    <row r="65" spans="1:13" ht="12.75" customHeight="1">
      <c r="A65" s="1"/>
      <c r="B65" s="5" t="s">
        <v>43</v>
      </c>
      <c r="C65" s="64"/>
      <c r="D65" s="1"/>
      <c r="E65" s="1"/>
      <c r="F65" s="1"/>
      <c r="G65" s="1"/>
      <c r="H65" s="1"/>
      <c r="I65" s="1"/>
      <c r="J65" s="1"/>
      <c r="K65" s="1"/>
      <c r="L65" s="1"/>
      <c r="M65" s="1"/>
    </row>
    <row r="66" spans="1:13" ht="12.75" customHeight="1">
      <c r="A66" s="1"/>
      <c r="B66" s="5" t="s">
        <v>44</v>
      </c>
      <c r="C66" s="64"/>
      <c r="D66" s="1"/>
      <c r="E66" s="1"/>
      <c r="F66" s="1"/>
      <c r="G66" s="1"/>
      <c r="H66" s="1"/>
      <c r="I66" s="1"/>
      <c r="J66" s="1"/>
      <c r="K66" s="1"/>
      <c r="L66" s="1"/>
      <c r="M66" s="1"/>
    </row>
    <row r="67" spans="1:13" ht="12.75" customHeight="1">
      <c r="A67" s="1"/>
      <c r="B67" s="59"/>
      <c r="C67" s="64"/>
      <c r="D67" s="1"/>
      <c r="E67" s="1"/>
      <c r="F67" s="1"/>
      <c r="G67" s="1"/>
      <c r="H67" s="1"/>
      <c r="I67" s="1"/>
      <c r="J67" s="1"/>
      <c r="K67" s="1"/>
      <c r="L67" s="1"/>
      <c r="M67" s="1"/>
    </row>
    <row r="68" spans="1:13" ht="12.75" customHeight="1">
      <c r="A68" s="1"/>
      <c r="B68" s="59" t="s">
        <v>426</v>
      </c>
      <c r="C68" s="64"/>
      <c r="D68" s="1"/>
      <c r="E68" s="1"/>
      <c r="F68" s="1"/>
      <c r="G68" s="1"/>
      <c r="H68" s="1"/>
      <c r="I68" s="1"/>
      <c r="J68" s="1"/>
      <c r="K68" s="1"/>
      <c r="L68" s="1"/>
      <c r="M68" s="1"/>
    </row>
    <row r="69" spans="1:13" ht="12.75" customHeight="1">
      <c r="A69" s="1"/>
      <c r="B69" s="59"/>
      <c r="C69" s="64"/>
      <c r="D69" s="1"/>
      <c r="E69" s="1"/>
      <c r="F69" s="1"/>
      <c r="G69" s="1"/>
      <c r="H69" s="1"/>
      <c r="I69" s="1"/>
      <c r="J69" s="1"/>
      <c r="K69" s="1"/>
      <c r="L69" s="1"/>
      <c r="M69" s="1"/>
    </row>
    <row r="70" spans="1:13" ht="12.75" customHeight="1">
      <c r="A70" s="1"/>
      <c r="B70" s="59"/>
      <c r="C70" s="64"/>
      <c r="D70" s="1"/>
      <c r="E70" s="1"/>
      <c r="F70" s="1"/>
      <c r="G70" s="1"/>
      <c r="H70" s="1"/>
      <c r="I70" s="1"/>
      <c r="J70" s="1"/>
      <c r="K70" s="1"/>
      <c r="L70" s="1"/>
      <c r="M70" s="1"/>
    </row>
    <row r="71" spans="1:13" ht="12.75" customHeight="1">
      <c r="A71" s="1"/>
      <c r="B71" s="9" t="s">
        <v>63</v>
      </c>
      <c r="C71" s="64"/>
      <c r="D71" s="1"/>
      <c r="E71" s="1"/>
      <c r="F71" s="1"/>
      <c r="G71" s="1"/>
      <c r="H71" s="1"/>
      <c r="I71" s="1"/>
      <c r="J71" s="1"/>
      <c r="K71" s="1"/>
      <c r="L71" s="1"/>
      <c r="M71" s="1"/>
    </row>
    <row r="72" spans="1:13" ht="12.75" customHeight="1">
      <c r="A72" s="1"/>
      <c r="B72" s="10" t="s">
        <v>64</v>
      </c>
      <c r="C72" s="81">
        <v>84229.4</v>
      </c>
      <c r="D72" s="1"/>
      <c r="E72" s="1"/>
      <c r="F72" s="1"/>
      <c r="G72" s="1"/>
      <c r="H72" s="1"/>
      <c r="I72" s="1"/>
      <c r="J72" s="1"/>
      <c r="K72" s="1"/>
      <c r="L72" s="1"/>
      <c r="M72" s="1"/>
    </row>
    <row r="73" spans="1:13" ht="12.75" customHeight="1">
      <c r="A73" s="1"/>
      <c r="B73" s="10" t="s">
        <v>65</v>
      </c>
      <c r="C73" s="81"/>
      <c r="D73" s="1"/>
      <c r="E73" s="1"/>
      <c r="F73" s="1"/>
      <c r="G73" s="1"/>
      <c r="H73" s="1"/>
      <c r="I73" s="1"/>
      <c r="J73" s="1"/>
      <c r="K73" s="1"/>
      <c r="L73" s="1"/>
      <c r="M73" s="1"/>
    </row>
    <row r="74" spans="1:13" ht="12.75" customHeight="1">
      <c r="A74" s="1"/>
      <c r="B74" s="10" t="s">
        <v>66</v>
      </c>
      <c r="C74" s="81">
        <v>198947</v>
      </c>
      <c r="D74" s="1"/>
      <c r="E74" s="1"/>
      <c r="F74" s="1"/>
      <c r="G74" s="1"/>
      <c r="H74" s="1"/>
      <c r="I74" s="1"/>
      <c r="J74" s="1"/>
      <c r="K74" s="1"/>
      <c r="L74" s="1"/>
      <c r="M74" s="1"/>
    </row>
    <row r="75" spans="1:13" ht="12.75" customHeight="1">
      <c r="A75" s="1"/>
      <c r="B75" s="10" t="s">
        <v>67</v>
      </c>
      <c r="C75" s="81"/>
      <c r="D75" s="1"/>
      <c r="E75" s="1"/>
      <c r="F75" s="1"/>
      <c r="G75" s="1"/>
      <c r="H75" s="1"/>
      <c r="I75" s="1"/>
      <c r="J75" s="1"/>
      <c r="K75" s="1"/>
      <c r="L75" s="1"/>
      <c r="M75" s="1"/>
    </row>
    <row r="76" spans="1:13" ht="12.75" customHeight="1">
      <c r="A76" s="1"/>
      <c r="B76" s="10" t="s">
        <v>68</v>
      </c>
      <c r="C76" s="81">
        <v>166062.1</v>
      </c>
      <c r="D76" s="1"/>
      <c r="E76" s="1"/>
      <c r="F76" s="1"/>
      <c r="G76" s="1"/>
      <c r="H76" s="1"/>
      <c r="I76" s="1"/>
      <c r="J76" s="1"/>
      <c r="K76" s="1"/>
      <c r="L76" s="1"/>
      <c r="M76" s="1"/>
    </row>
    <row r="77" spans="1:13" ht="12.75" customHeight="1">
      <c r="A77" s="1"/>
      <c r="B77" s="10" t="s">
        <v>69</v>
      </c>
      <c r="C77" s="81">
        <v>283660</v>
      </c>
      <c r="D77" s="1"/>
      <c r="E77" s="1"/>
      <c r="F77" s="1"/>
      <c r="G77" s="1"/>
      <c r="H77" s="1"/>
      <c r="I77" s="1"/>
      <c r="J77" s="1"/>
      <c r="K77" s="1"/>
      <c r="L77" s="1"/>
      <c r="M77" s="1"/>
    </row>
    <row r="78" spans="1:13" ht="12.75" customHeight="1">
      <c r="A78" s="1"/>
      <c r="B78" s="10" t="s">
        <v>70</v>
      </c>
      <c r="C78" s="81"/>
      <c r="D78" s="1"/>
      <c r="E78" s="1"/>
      <c r="F78" s="1"/>
      <c r="G78" s="1"/>
      <c r="H78" s="1"/>
      <c r="I78" s="1"/>
      <c r="J78" s="1"/>
      <c r="K78" s="1"/>
      <c r="L78" s="1"/>
      <c r="M78" s="1"/>
    </row>
    <row r="79" spans="1:13" ht="12.75" customHeight="1">
      <c r="A79" s="1"/>
      <c r="B79" s="10" t="s">
        <v>71</v>
      </c>
      <c r="C79" s="81"/>
      <c r="D79" s="1"/>
      <c r="E79" s="1"/>
      <c r="F79" s="1"/>
      <c r="G79" s="1"/>
      <c r="H79" s="1"/>
      <c r="I79" s="1"/>
      <c r="J79" s="1"/>
      <c r="K79" s="1"/>
      <c r="L79" s="1"/>
      <c r="M79" s="1"/>
    </row>
    <row r="80" spans="1:13" ht="12.75" customHeight="1">
      <c r="A80" s="1"/>
      <c r="B80" s="10" t="s">
        <v>72</v>
      </c>
      <c r="C80" s="81">
        <v>251139</v>
      </c>
      <c r="D80" s="1"/>
      <c r="E80" s="1"/>
      <c r="F80" s="1"/>
      <c r="G80" s="1"/>
      <c r="H80" s="1"/>
      <c r="I80" s="1"/>
      <c r="J80" s="1"/>
      <c r="K80" s="1"/>
      <c r="L80" s="1"/>
      <c r="M80" s="1"/>
    </row>
    <row r="81" spans="1:13" ht="12.75" customHeight="1">
      <c r="A81" s="1"/>
      <c r="B81" s="10" t="s">
        <v>73</v>
      </c>
      <c r="C81" s="81"/>
      <c r="D81" s="1"/>
      <c r="E81" s="1"/>
      <c r="F81" s="1"/>
      <c r="G81" s="1"/>
      <c r="H81" s="1"/>
      <c r="I81" s="1"/>
      <c r="J81" s="1"/>
      <c r="K81" s="1"/>
      <c r="L81" s="1"/>
      <c r="M81" s="1"/>
    </row>
    <row r="82" spans="1:13" ht="12.75" customHeight="1">
      <c r="A82" s="1"/>
      <c r="B82" s="10" t="s">
        <v>74</v>
      </c>
      <c r="C82" s="81">
        <v>410000</v>
      </c>
      <c r="D82" s="1"/>
      <c r="E82" s="1"/>
      <c r="F82" s="1"/>
      <c r="G82" s="1"/>
      <c r="H82" s="1"/>
      <c r="I82" s="1"/>
      <c r="J82" s="1"/>
      <c r="K82" s="1"/>
      <c r="L82" s="1"/>
      <c r="M82" s="1"/>
    </row>
    <row r="83" spans="1:13" ht="12.75" customHeight="1">
      <c r="A83" s="1"/>
      <c r="B83" s="10" t="s">
        <v>75</v>
      </c>
      <c r="C83" s="81">
        <v>81826</v>
      </c>
      <c r="D83" s="1"/>
      <c r="E83" s="1"/>
      <c r="F83" s="1"/>
      <c r="G83" s="1"/>
      <c r="H83" s="1"/>
      <c r="I83" s="1"/>
      <c r="J83" s="1"/>
      <c r="K83" s="1"/>
      <c r="L83" s="1"/>
      <c r="M83" s="1"/>
    </row>
    <row r="84" spans="1:13" ht="12.75" customHeight="1">
      <c r="A84" s="1"/>
      <c r="B84" s="10" t="s">
        <v>76</v>
      </c>
      <c r="C84" s="81">
        <v>101108.7</v>
      </c>
      <c r="D84" s="1"/>
      <c r="E84" s="1"/>
      <c r="F84" s="1"/>
      <c r="G84" s="1"/>
      <c r="H84" s="1"/>
      <c r="I84" s="1"/>
      <c r="J84" s="1"/>
      <c r="K84" s="1"/>
      <c r="L84" s="1"/>
      <c r="M84" s="1"/>
    </row>
    <row r="85" spans="1:13" ht="12.75" customHeight="1">
      <c r="A85" s="1"/>
      <c r="B85" s="10" t="s">
        <v>77</v>
      </c>
      <c r="C85" s="81">
        <v>11916</v>
      </c>
      <c r="D85" s="1"/>
      <c r="E85" s="1"/>
      <c r="F85" s="1"/>
      <c r="G85" s="1"/>
      <c r="H85" s="1"/>
      <c r="I85" s="1"/>
      <c r="J85" s="1"/>
      <c r="K85" s="1"/>
      <c r="L85" s="1"/>
      <c r="M85" s="1"/>
    </row>
    <row r="86" spans="1:13" ht="12.75" customHeight="1">
      <c r="A86" s="1"/>
      <c r="B86" s="10" t="s">
        <v>78</v>
      </c>
      <c r="C86" s="81">
        <v>396485.24</v>
      </c>
      <c r="D86" s="1"/>
      <c r="E86" s="1"/>
      <c r="F86" s="1"/>
      <c r="G86" s="1"/>
      <c r="H86" s="1"/>
      <c r="I86" s="1"/>
      <c r="J86" s="1"/>
      <c r="K86" s="1"/>
      <c r="L86" s="1"/>
      <c r="M86" s="1"/>
    </row>
    <row r="87" spans="1:13" ht="12.75" customHeight="1">
      <c r="A87" s="1"/>
      <c r="B87" s="10" t="s">
        <v>79</v>
      </c>
      <c r="C87" s="81">
        <v>424929.86</v>
      </c>
      <c r="D87" s="1"/>
      <c r="E87" s="1"/>
      <c r="F87" s="1"/>
      <c r="G87" s="1"/>
      <c r="H87" s="1"/>
      <c r="I87" s="1"/>
      <c r="J87" s="1"/>
      <c r="K87" s="1"/>
      <c r="L87" s="1"/>
      <c r="M87" s="1"/>
    </row>
    <row r="88" spans="1:13" ht="12.75" customHeight="1">
      <c r="A88" s="1"/>
      <c r="B88" s="10" t="s">
        <v>80</v>
      </c>
      <c r="C88" s="81">
        <v>158479.63</v>
      </c>
      <c r="D88" s="1"/>
      <c r="E88" s="1"/>
      <c r="F88" s="1"/>
      <c r="G88" s="1"/>
      <c r="H88" s="1"/>
      <c r="I88" s="1"/>
      <c r="J88" s="1"/>
      <c r="K88" s="1"/>
      <c r="L88" s="1"/>
      <c r="M88" s="1"/>
    </row>
    <row r="89" spans="1:13" ht="12.75" customHeight="1">
      <c r="A89" s="1"/>
      <c r="B89" s="10" t="s">
        <v>81</v>
      </c>
      <c r="C89" s="81">
        <v>2257699.0499999998</v>
      </c>
      <c r="D89" s="1"/>
      <c r="E89" s="1"/>
      <c r="F89" s="1"/>
      <c r="G89" s="1"/>
      <c r="H89" s="1"/>
      <c r="I89" s="1"/>
      <c r="J89" s="1"/>
      <c r="K89" s="1"/>
      <c r="L89" s="1"/>
      <c r="M89" s="1"/>
    </row>
    <row r="90" spans="1:13" ht="12.75" customHeight="1">
      <c r="A90" s="1"/>
      <c r="B90" s="11" t="s">
        <v>82</v>
      </c>
      <c r="C90" s="81">
        <v>30000</v>
      </c>
      <c r="D90" s="1"/>
      <c r="E90" s="1"/>
      <c r="F90" s="1"/>
      <c r="G90" s="1"/>
      <c r="H90" s="1"/>
      <c r="I90" s="1"/>
      <c r="J90" s="1"/>
      <c r="K90" s="1"/>
      <c r="L90" s="1"/>
      <c r="M90" s="1"/>
    </row>
    <row r="91" spans="1:13" ht="12.75" customHeight="1">
      <c r="A91" s="1"/>
      <c r="B91" s="10" t="s">
        <v>83</v>
      </c>
      <c r="C91" s="81">
        <v>5247</v>
      </c>
      <c r="D91" s="1"/>
      <c r="E91" s="1"/>
      <c r="F91" s="1"/>
      <c r="G91" s="1"/>
      <c r="H91" s="1"/>
      <c r="I91" s="1"/>
      <c r="J91" s="1"/>
      <c r="K91" s="1"/>
      <c r="L91" s="1"/>
      <c r="M91" s="1"/>
    </row>
    <row r="92" spans="1:13" ht="12.75" customHeight="1">
      <c r="A92" s="1"/>
      <c r="B92" s="10" t="s">
        <v>84</v>
      </c>
      <c r="C92" s="81">
        <v>147669.32</v>
      </c>
      <c r="D92" s="1"/>
      <c r="E92" s="1"/>
      <c r="F92" s="1"/>
      <c r="G92" s="1"/>
      <c r="H92" s="1"/>
      <c r="I92" s="1"/>
      <c r="J92" s="1"/>
      <c r="K92" s="1"/>
      <c r="L92" s="1"/>
      <c r="M92" s="1"/>
    </row>
    <row r="93" spans="1:13" ht="12.75" customHeight="1">
      <c r="A93" s="1"/>
      <c r="B93" s="10" t="s">
        <v>85</v>
      </c>
      <c r="C93" s="81">
        <v>42191.23</v>
      </c>
      <c r="D93" s="1"/>
      <c r="E93" s="1"/>
      <c r="F93" s="1"/>
      <c r="G93" s="1"/>
      <c r="H93" s="1"/>
      <c r="I93" s="1"/>
      <c r="J93" s="1"/>
      <c r="K93" s="1"/>
      <c r="L93" s="1"/>
      <c r="M93" s="1"/>
    </row>
    <row r="94" spans="1:13" ht="12.75" customHeight="1">
      <c r="A94" s="1"/>
      <c r="B94" s="10" t="s">
        <v>86</v>
      </c>
      <c r="C94" s="81">
        <v>21095.61</v>
      </c>
      <c r="D94" s="1"/>
      <c r="E94" s="1"/>
      <c r="F94" s="1"/>
      <c r="G94" s="1"/>
      <c r="H94" s="1"/>
      <c r="I94" s="1"/>
      <c r="J94" s="1"/>
      <c r="K94" s="1"/>
      <c r="L94" s="1"/>
      <c r="M94" s="1"/>
    </row>
    <row r="95" spans="1:13" ht="12.75" customHeight="1">
      <c r="A95" s="1"/>
      <c r="B95" s="10" t="s">
        <v>87</v>
      </c>
      <c r="C95" s="81">
        <v>120000</v>
      </c>
      <c r="D95" s="1"/>
      <c r="E95" s="1"/>
      <c r="F95" s="1"/>
      <c r="G95" s="1"/>
      <c r="H95" s="1"/>
      <c r="I95" s="1"/>
      <c r="J95" s="1"/>
      <c r="K95" s="1"/>
      <c r="L95" s="1"/>
      <c r="M95" s="1"/>
    </row>
    <row r="96" spans="1:13" ht="12.75" customHeight="1">
      <c r="A96" s="1"/>
      <c r="B96" s="10" t="s">
        <v>88</v>
      </c>
      <c r="C96" s="81">
        <v>72000</v>
      </c>
      <c r="D96" s="1"/>
      <c r="E96" s="1"/>
      <c r="F96" s="1"/>
      <c r="G96" s="1"/>
      <c r="H96" s="1"/>
      <c r="I96" s="1"/>
      <c r="J96" s="1"/>
      <c r="K96" s="1"/>
      <c r="L96" s="1"/>
      <c r="M96" s="1"/>
    </row>
    <row r="97" spans="1:13" ht="12.75" customHeight="1">
      <c r="A97" s="1"/>
      <c r="B97" s="10" t="s">
        <v>89</v>
      </c>
      <c r="C97" s="64"/>
      <c r="D97" s="1"/>
      <c r="E97" s="1"/>
      <c r="F97" s="1"/>
      <c r="G97" s="1"/>
      <c r="H97" s="1"/>
      <c r="I97" s="1"/>
      <c r="J97" s="1"/>
      <c r="K97" s="1"/>
      <c r="L97" s="1"/>
      <c r="M97" s="1"/>
    </row>
    <row r="98" spans="1:13" ht="12.75" customHeight="1">
      <c r="A98" s="1"/>
      <c r="B98" s="10" t="s">
        <v>90</v>
      </c>
      <c r="C98" s="64"/>
      <c r="D98" s="1"/>
      <c r="E98" s="1"/>
      <c r="F98" s="1"/>
      <c r="G98" s="1"/>
      <c r="H98" s="1"/>
      <c r="I98" s="1"/>
      <c r="J98" s="1"/>
      <c r="K98" s="1"/>
      <c r="L98" s="1"/>
      <c r="M98" s="1"/>
    </row>
    <row r="99" spans="1:13" ht="12.75" customHeight="1">
      <c r="A99" s="1"/>
      <c r="B99" s="10" t="s">
        <v>91</v>
      </c>
      <c r="C99" s="81">
        <v>97855.5</v>
      </c>
      <c r="D99" s="1"/>
      <c r="E99" s="1"/>
      <c r="F99" s="1"/>
      <c r="G99" s="1"/>
      <c r="H99" s="1"/>
      <c r="I99" s="1"/>
      <c r="J99" s="1"/>
      <c r="K99" s="1"/>
      <c r="L99" s="1"/>
      <c r="M99" s="1"/>
    </row>
    <row r="100" spans="1:13" ht="12.75" customHeight="1">
      <c r="A100" s="1"/>
      <c r="B100" s="10" t="s">
        <v>92</v>
      </c>
      <c r="C100" s="81"/>
      <c r="D100" s="1"/>
      <c r="E100" s="1"/>
      <c r="F100" s="1"/>
      <c r="G100" s="1"/>
      <c r="H100" s="1"/>
      <c r="I100" s="1"/>
      <c r="J100" s="1"/>
      <c r="K100" s="1"/>
      <c r="L100" s="1"/>
      <c r="M100" s="1"/>
    </row>
    <row r="101" spans="1:13" ht="12.75" customHeight="1">
      <c r="A101" s="1"/>
      <c r="B101" s="10" t="s">
        <v>93</v>
      </c>
      <c r="C101" s="81">
        <v>397100</v>
      </c>
      <c r="D101" s="1"/>
      <c r="E101" s="1"/>
      <c r="F101" s="1"/>
      <c r="G101" s="1"/>
      <c r="H101" s="1"/>
      <c r="I101" s="1"/>
      <c r="J101" s="1"/>
      <c r="K101" s="1"/>
      <c r="L101" s="1"/>
      <c r="M101" s="1"/>
    </row>
    <row r="102" spans="1:13" ht="12.75" customHeight="1">
      <c r="A102" s="1"/>
      <c r="B102" s="10" t="s">
        <v>94</v>
      </c>
      <c r="C102" s="81"/>
      <c r="D102" s="1"/>
      <c r="E102" s="1"/>
      <c r="F102" s="1"/>
      <c r="G102" s="1"/>
      <c r="H102" s="1"/>
      <c r="I102" s="1"/>
      <c r="J102" s="1"/>
      <c r="K102" s="1"/>
      <c r="L102" s="1"/>
      <c r="M102" s="1"/>
    </row>
    <row r="103" spans="1:13" ht="12.75" customHeight="1">
      <c r="A103" s="1"/>
      <c r="B103" s="10" t="s">
        <v>95</v>
      </c>
      <c r="C103" s="81"/>
      <c r="D103" s="1"/>
      <c r="E103" s="1"/>
      <c r="F103" s="1"/>
      <c r="G103" s="1"/>
      <c r="H103" s="1"/>
      <c r="I103" s="1"/>
      <c r="J103" s="1"/>
      <c r="K103" s="1"/>
      <c r="L103" s="1"/>
      <c r="M103" s="1"/>
    </row>
    <row r="104" spans="1:13" ht="12.75" customHeight="1">
      <c r="A104" s="1"/>
      <c r="B104" s="10" t="s">
        <v>96</v>
      </c>
      <c r="C104" s="81"/>
      <c r="D104" s="1"/>
      <c r="E104" s="1"/>
      <c r="F104" s="1"/>
      <c r="G104" s="1"/>
      <c r="H104" s="1"/>
      <c r="I104" s="1"/>
      <c r="J104" s="1"/>
      <c r="K104" s="1"/>
      <c r="L104" s="1"/>
      <c r="M104" s="1"/>
    </row>
    <row r="105" spans="1:13" ht="12.75" customHeight="1">
      <c r="A105" s="1"/>
      <c r="B105" s="10" t="s">
        <v>97</v>
      </c>
      <c r="C105" s="81"/>
      <c r="D105" s="1"/>
      <c r="E105" s="1"/>
      <c r="F105" s="1"/>
      <c r="G105" s="1"/>
      <c r="H105" s="1"/>
      <c r="I105" s="1"/>
      <c r="J105" s="1"/>
      <c r="K105" s="1"/>
      <c r="L105" s="1"/>
      <c r="M105" s="1"/>
    </row>
    <row r="106" spans="1:13" ht="12.75" customHeight="1">
      <c r="A106" s="1"/>
      <c r="B106" s="10" t="s">
        <v>98</v>
      </c>
      <c r="C106" s="81"/>
      <c r="D106" s="1"/>
      <c r="E106" s="1"/>
      <c r="F106" s="1"/>
      <c r="G106" s="1"/>
      <c r="H106" s="1"/>
      <c r="I106" s="1"/>
      <c r="J106" s="1"/>
      <c r="K106" s="1"/>
      <c r="L106" s="1"/>
      <c r="M106" s="1"/>
    </row>
    <row r="107" spans="1:13" ht="12.75" customHeight="1">
      <c r="A107" s="1"/>
      <c r="B107" s="10" t="s">
        <v>99</v>
      </c>
      <c r="C107" s="81"/>
      <c r="D107" s="1"/>
      <c r="E107" s="1"/>
      <c r="F107" s="1"/>
      <c r="G107" s="1"/>
      <c r="H107" s="1"/>
      <c r="I107" s="1"/>
      <c r="J107" s="1"/>
      <c r="K107" s="1"/>
      <c r="L107" s="1"/>
      <c r="M107" s="1"/>
    </row>
    <row r="108" spans="1:13" ht="12.75" customHeight="1">
      <c r="A108" s="1"/>
      <c r="B108" s="10" t="s">
        <v>100</v>
      </c>
      <c r="C108" s="81"/>
      <c r="D108" s="1"/>
      <c r="E108" s="1"/>
      <c r="F108" s="1"/>
      <c r="G108" s="1"/>
      <c r="H108" s="1"/>
      <c r="I108" s="1"/>
      <c r="J108" s="1"/>
      <c r="K108" s="1"/>
      <c r="L108" s="1"/>
      <c r="M108" s="1"/>
    </row>
    <row r="109" spans="1:13" ht="12.75" customHeight="1">
      <c r="A109" s="1"/>
      <c r="B109" s="10" t="s">
        <v>101</v>
      </c>
      <c r="C109" s="81">
        <v>566148.24</v>
      </c>
      <c r="D109" s="1"/>
      <c r="E109" s="1"/>
      <c r="F109" s="1"/>
      <c r="G109" s="1"/>
      <c r="H109" s="1"/>
      <c r="I109" s="1"/>
      <c r="J109" s="1"/>
      <c r="K109" s="1"/>
      <c r="L109" s="1"/>
      <c r="M109" s="1"/>
    </row>
    <row r="110" spans="1:13" ht="12.75" customHeight="1">
      <c r="A110" s="1"/>
      <c r="B110" s="10" t="s">
        <v>102</v>
      </c>
      <c r="C110" s="81">
        <v>126655.4</v>
      </c>
      <c r="D110" s="1"/>
      <c r="E110" s="1"/>
      <c r="F110" s="1"/>
      <c r="G110" s="1"/>
      <c r="H110" s="1"/>
      <c r="I110" s="1"/>
      <c r="J110" s="1"/>
      <c r="K110" s="1"/>
      <c r="L110" s="1"/>
      <c r="M110" s="1"/>
    </row>
    <row r="111" spans="1:13" ht="12.75" customHeight="1">
      <c r="A111" s="1"/>
      <c r="B111" s="10" t="s">
        <v>103</v>
      </c>
      <c r="C111" s="81"/>
      <c r="D111" s="1"/>
      <c r="E111" s="1"/>
      <c r="F111" s="1"/>
      <c r="G111" s="1"/>
      <c r="H111" s="1"/>
      <c r="I111" s="1"/>
      <c r="J111" s="1"/>
      <c r="K111" s="1"/>
      <c r="L111" s="1"/>
      <c r="M111" s="1"/>
    </row>
    <row r="112" spans="1:13" ht="12.75" customHeight="1">
      <c r="A112" s="1"/>
      <c r="B112" s="10" t="s">
        <v>104</v>
      </c>
      <c r="C112" s="81">
        <v>53295.71</v>
      </c>
      <c r="D112" s="1"/>
      <c r="E112" s="1"/>
      <c r="F112" s="1"/>
      <c r="G112" s="1"/>
      <c r="H112" s="1"/>
      <c r="I112" s="1"/>
      <c r="J112" s="1"/>
      <c r="K112" s="1"/>
      <c r="L112" s="1"/>
      <c r="M112" s="1"/>
    </row>
    <row r="113" spans="1:13" ht="12.75" customHeight="1">
      <c r="A113" s="1"/>
      <c r="B113" s="10" t="s">
        <v>105</v>
      </c>
      <c r="C113" s="81"/>
      <c r="D113" s="1"/>
      <c r="E113" s="1"/>
      <c r="F113" s="1"/>
      <c r="G113" s="1"/>
      <c r="H113" s="1"/>
      <c r="I113" s="1"/>
      <c r="J113" s="1"/>
      <c r="K113" s="1"/>
      <c r="L113" s="1"/>
      <c r="M113" s="1"/>
    </row>
    <row r="114" spans="1:13" ht="12.75" customHeight="1">
      <c r="A114" s="1"/>
      <c r="B114" s="10" t="s">
        <v>106</v>
      </c>
      <c r="C114" s="81">
        <v>33051</v>
      </c>
      <c r="D114" s="1"/>
      <c r="E114" s="1"/>
      <c r="F114" s="1"/>
      <c r="G114" s="1"/>
      <c r="H114" s="1"/>
      <c r="I114" s="1"/>
      <c r="J114" s="1"/>
      <c r="K114" s="1"/>
      <c r="L114" s="1"/>
      <c r="M114" s="1"/>
    </row>
    <row r="115" spans="1:13" ht="12.75" customHeight="1">
      <c r="A115" s="1"/>
      <c r="B115" s="10" t="s">
        <v>107</v>
      </c>
      <c r="C115" s="81">
        <v>29808.5</v>
      </c>
      <c r="D115" s="1"/>
      <c r="E115" s="1"/>
      <c r="F115" s="1"/>
      <c r="G115" s="1"/>
      <c r="H115" s="1"/>
      <c r="I115" s="1"/>
      <c r="J115" s="1"/>
      <c r="K115" s="1"/>
      <c r="L115" s="1"/>
      <c r="M115" s="1"/>
    </row>
    <row r="116" spans="1:13" ht="12.75" customHeight="1">
      <c r="A116" s="1"/>
      <c r="B116" s="10" t="s">
        <v>108</v>
      </c>
      <c r="C116" s="81"/>
      <c r="D116" s="1"/>
      <c r="E116" s="1"/>
      <c r="F116" s="1"/>
      <c r="G116" s="1"/>
      <c r="H116" s="1"/>
      <c r="I116" s="1"/>
      <c r="J116" s="1"/>
      <c r="K116" s="1"/>
      <c r="L116" s="1"/>
      <c r="M116" s="1"/>
    </row>
    <row r="117" spans="1:13" ht="12.75" customHeight="1">
      <c r="A117" s="1"/>
      <c r="B117" s="10" t="s">
        <v>109</v>
      </c>
      <c r="C117" s="81">
        <v>120000</v>
      </c>
      <c r="D117" s="1"/>
      <c r="E117" s="1"/>
      <c r="F117" s="1"/>
      <c r="G117" s="1"/>
      <c r="H117" s="1"/>
      <c r="I117" s="1"/>
      <c r="J117" s="1"/>
      <c r="K117" s="1"/>
      <c r="L117" s="1"/>
      <c r="M117" s="1"/>
    </row>
    <row r="118" spans="1:13" ht="12.75" customHeight="1">
      <c r="A118" s="1"/>
      <c r="B118" s="12" t="s">
        <v>110</v>
      </c>
      <c r="C118" s="64"/>
      <c r="D118" s="1"/>
      <c r="E118" s="1"/>
      <c r="F118" s="1"/>
      <c r="G118" s="1"/>
      <c r="H118" s="1"/>
      <c r="I118" s="1"/>
      <c r="J118" s="1"/>
      <c r="K118" s="1"/>
      <c r="L118" s="1"/>
      <c r="M118" s="1"/>
    </row>
    <row r="119" spans="1:13" ht="12.75" customHeight="1">
      <c r="A119" s="1"/>
      <c r="B119" s="18" t="s">
        <v>111</v>
      </c>
      <c r="C119" s="64"/>
      <c r="D119" s="1"/>
      <c r="E119" s="1"/>
      <c r="F119" s="1"/>
      <c r="G119" s="1"/>
      <c r="H119" s="1"/>
      <c r="I119" s="1"/>
      <c r="J119" s="1"/>
      <c r="K119" s="1"/>
      <c r="L119" s="1"/>
      <c r="M119" s="1"/>
    </row>
    <row r="120" spans="1:13" ht="12.75" customHeight="1">
      <c r="A120" s="1"/>
      <c r="B120" s="18" t="s">
        <v>112</v>
      </c>
      <c r="C120" s="64"/>
      <c r="D120" s="1"/>
      <c r="E120" s="1"/>
      <c r="F120" s="1"/>
      <c r="G120" s="1"/>
      <c r="H120" s="1"/>
      <c r="I120" s="1"/>
      <c r="J120" s="1"/>
      <c r="K120" s="1"/>
      <c r="L120" s="1"/>
      <c r="M120" s="1"/>
    </row>
    <row r="121" spans="1:13" ht="12.75" customHeight="1">
      <c r="A121" s="1"/>
      <c r="B121" s="17"/>
      <c r="C121" s="64"/>
      <c r="D121" s="1"/>
      <c r="E121" s="1"/>
      <c r="F121" s="1"/>
      <c r="G121" s="1"/>
      <c r="H121" s="1"/>
      <c r="I121" s="1"/>
      <c r="J121" s="1"/>
      <c r="K121" s="1"/>
      <c r="L121" s="1"/>
      <c r="M121" s="1"/>
    </row>
    <row r="122" spans="1:13" ht="12.75" customHeight="1">
      <c r="A122" s="1"/>
      <c r="B122" s="19"/>
      <c r="C122" s="64"/>
      <c r="D122" s="1"/>
      <c r="E122" s="1"/>
      <c r="F122" s="1"/>
      <c r="G122" s="1"/>
      <c r="H122" s="1"/>
      <c r="I122" s="1"/>
      <c r="J122" s="1"/>
      <c r="K122" s="1"/>
      <c r="L122" s="1"/>
      <c r="M122" s="1"/>
    </row>
    <row r="123" spans="1:13" ht="12.75" customHeight="1">
      <c r="A123" s="1"/>
      <c r="B123" s="20"/>
      <c r="C123" s="64"/>
      <c r="D123" s="1"/>
      <c r="E123" s="1"/>
      <c r="F123" s="1"/>
      <c r="G123" s="1"/>
      <c r="H123" s="1"/>
      <c r="I123" s="1"/>
      <c r="J123" s="1"/>
      <c r="K123" s="1"/>
      <c r="L123" s="1"/>
      <c r="M123" s="1"/>
    </row>
    <row r="124" spans="1:13" ht="12.75" customHeight="1">
      <c r="A124" s="1"/>
      <c r="B124" s="20"/>
      <c r="C124" s="64"/>
      <c r="D124" s="1"/>
      <c r="E124" s="1"/>
      <c r="F124" s="1"/>
      <c r="G124" s="1"/>
      <c r="H124" s="1"/>
      <c r="I124" s="1"/>
      <c r="J124" s="1"/>
      <c r="K124" s="1"/>
      <c r="L124" s="1"/>
      <c r="M124" s="1"/>
    </row>
    <row r="125" spans="1:13" ht="13.15" customHeight="1">
      <c r="A125" s="1"/>
      <c r="B125" s="21" t="s">
        <v>128</v>
      </c>
      <c r="C125" s="64"/>
      <c r="D125" s="1"/>
      <c r="E125" s="1"/>
      <c r="F125" s="1"/>
      <c r="G125" s="1"/>
      <c r="H125" s="1"/>
      <c r="I125" s="1"/>
      <c r="J125" s="1"/>
      <c r="K125" s="1"/>
      <c r="L125" s="1"/>
      <c r="M125" s="1"/>
    </row>
    <row r="126" spans="1:13" ht="12.75" customHeight="1">
      <c r="A126" s="1"/>
      <c r="B126" s="20" t="s">
        <v>123</v>
      </c>
      <c r="C126" s="81">
        <v>12919572.35</v>
      </c>
      <c r="D126" s="1"/>
      <c r="E126" s="1"/>
      <c r="F126" s="1"/>
      <c r="G126" s="1"/>
      <c r="H126" s="1"/>
      <c r="I126" s="1"/>
      <c r="J126" s="1"/>
      <c r="K126" s="1"/>
      <c r="L126" s="1"/>
      <c r="M126" s="1"/>
    </row>
    <row r="127" spans="1:13" ht="12.75" customHeight="1">
      <c r="A127" s="1"/>
      <c r="B127" s="20" t="s">
        <v>124</v>
      </c>
      <c r="C127" s="81">
        <v>2084998.09</v>
      </c>
      <c r="D127" s="1"/>
      <c r="E127" s="1"/>
      <c r="F127" s="1"/>
      <c r="G127" s="1"/>
      <c r="H127" s="1"/>
      <c r="I127" s="1"/>
      <c r="J127" s="1"/>
      <c r="K127" s="1"/>
      <c r="L127" s="1"/>
      <c r="M127" s="1"/>
    </row>
    <row r="128" spans="1:13" ht="12.75" customHeight="1">
      <c r="A128" s="1"/>
      <c r="B128" s="20" t="s">
        <v>125</v>
      </c>
      <c r="C128" s="81">
        <v>4714485.72</v>
      </c>
      <c r="D128" s="1"/>
      <c r="E128" s="1"/>
      <c r="F128" s="1"/>
      <c r="G128" s="1"/>
      <c r="H128" s="1"/>
      <c r="I128" s="1"/>
      <c r="J128" s="1"/>
      <c r="K128" s="1"/>
      <c r="L128" s="1"/>
      <c r="M128" s="1"/>
    </row>
    <row r="129" spans="1:13" ht="12.75" customHeight="1">
      <c r="A129" s="1"/>
      <c r="B129" s="20" t="s">
        <v>126</v>
      </c>
      <c r="C129" s="81">
        <v>11409303.199999999</v>
      </c>
      <c r="D129" s="1"/>
      <c r="E129" s="1"/>
      <c r="F129" s="1"/>
      <c r="G129" s="1"/>
      <c r="H129" s="1"/>
      <c r="I129" s="1"/>
      <c r="J129" s="1"/>
      <c r="K129" s="1"/>
      <c r="L129" s="1"/>
      <c r="M129" s="1"/>
    </row>
    <row r="130" spans="1:13" ht="12.75" customHeight="1">
      <c r="A130" s="1"/>
      <c r="B130" s="17" t="s">
        <v>127</v>
      </c>
      <c r="C130" s="81">
        <v>1798100.94</v>
      </c>
      <c r="D130" s="1"/>
      <c r="E130" s="1"/>
      <c r="F130" s="1"/>
      <c r="G130" s="1"/>
      <c r="H130" s="1"/>
      <c r="I130" s="1"/>
      <c r="J130" s="1"/>
      <c r="K130" s="1"/>
      <c r="L130" s="1"/>
      <c r="M130" s="1"/>
    </row>
    <row r="131" spans="1:13" ht="27.75" customHeight="1">
      <c r="A131" s="1"/>
      <c r="B131" s="13" t="s">
        <v>113</v>
      </c>
      <c r="C131" s="81">
        <f>SUM(C39:C130)</f>
        <v>142782140.42999998</v>
      </c>
      <c r="D131" s="1"/>
      <c r="E131" s="1"/>
      <c r="F131" s="1"/>
      <c r="G131" s="1"/>
      <c r="H131" s="1"/>
      <c r="I131" s="1"/>
      <c r="J131" s="1"/>
      <c r="K131" s="1"/>
      <c r="L131" s="1"/>
      <c r="M131" s="1"/>
    </row>
    <row r="132" spans="1:13" ht="12.75" customHeight="1">
      <c r="A132" s="1"/>
      <c r="B132" s="1"/>
      <c r="C132" s="1"/>
      <c r="D132" s="1"/>
      <c r="E132" s="1"/>
      <c r="F132" s="1"/>
      <c r="G132" s="1"/>
      <c r="H132" s="1"/>
      <c r="I132" s="1"/>
      <c r="J132" s="1"/>
      <c r="K132" s="1"/>
      <c r="L132" s="1"/>
      <c r="M132" s="1"/>
    </row>
    <row r="133" spans="1:13" ht="15.75" customHeight="1"/>
    <row r="134" spans="1:13" ht="15.75" customHeight="1"/>
    <row r="135" spans="1:13" ht="15.75" customHeight="1"/>
    <row r="136" spans="1:13" ht="15.75" customHeight="1"/>
    <row r="137" spans="1:13" ht="15.75" customHeight="1"/>
    <row r="138" spans="1:13" ht="15.75" customHeight="1"/>
    <row r="139" spans="1:13" ht="15.75" customHeight="1"/>
    <row r="140" spans="1:13" ht="15.75" customHeight="1"/>
    <row r="141" spans="1:13" ht="15.75" customHeight="1"/>
    <row r="142" spans="1:13" ht="15.75" customHeight="1"/>
    <row r="143" spans="1:13" ht="15.75" customHeight="1"/>
    <row r="144" spans="1:13"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sheetData>
  <sheetProtection sheet="1" objects="1" scenarios="1"/>
  <mergeCells count="4">
    <mergeCell ref="B4:C4"/>
    <mergeCell ref="B5:C5"/>
    <mergeCell ref="B6:C6"/>
    <mergeCell ref="B7:C7"/>
  </mergeCells>
  <dataValidations count="1">
    <dataValidation type="decimal" operator="greaterThanOrEqual" allowBlank="1" showInputMessage="1" showErrorMessage="1" sqref="C11:C34 C39:C131">
      <formula1>0</formula1>
    </dataValidation>
  </dataValidations>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sheetPr codeName="Sheet6"/>
  <dimension ref="A1:B67"/>
  <sheetViews>
    <sheetView topLeftCell="A37" workbookViewId="0">
      <selection activeCell="B2" sqref="B2:B67"/>
    </sheetView>
  </sheetViews>
  <sheetFormatPr defaultColWidth="9.28515625" defaultRowHeight="15"/>
  <cols>
    <col min="1" max="1" width="9.28515625" style="26"/>
    <col min="2" max="2" width="58.28515625" style="26" bestFit="1" customWidth="1"/>
    <col min="3" max="16384" width="9.28515625" style="26"/>
  </cols>
  <sheetData>
    <row r="1" spans="1:2">
      <c r="B1" s="27" t="s">
        <v>130</v>
      </c>
    </row>
    <row r="2" spans="1:2">
      <c r="A2" s="26">
        <v>1</v>
      </c>
      <c r="B2" s="26" t="str">
        <f>IF('10.1 Payroll'!$C$12="Level I",'Level I_Departments'!C4,'Level IIandIII_Departments'!C4)</f>
        <v>Administrative/Overhead services -&gt; Office of the Medical Center Chief</v>
      </c>
    </row>
    <row r="3" spans="1:2">
      <c r="A3" s="26">
        <f t="shared" ref="A3:A34" si="0">A2+1</f>
        <v>2</v>
      </c>
      <c r="B3" s="26" t="str">
        <f>IF('10.1 Payroll'!$C$12="Level I",'Level I_Departments'!C5,'Level IIandIII_Departments'!C5)</f>
        <v>Administrative/Overhead services -&gt; IT Departments</v>
      </c>
    </row>
    <row r="4" spans="1:2">
      <c r="A4" s="26">
        <f t="shared" si="0"/>
        <v>3</v>
      </c>
      <c r="B4" s="26" t="str">
        <f>IF('10.1 Payroll'!$C$12="Level I",'Level I_Departments'!C6,'Level IIandIII_Departments'!C6)</f>
        <v>Administrative/Overhead services -&gt; Office of the Administrative Officer</v>
      </c>
    </row>
    <row r="5" spans="1:2">
      <c r="A5" s="26">
        <f t="shared" si="0"/>
        <v>4</v>
      </c>
      <c r="B5" s="26" t="str">
        <f>IF('10.1 Payroll'!$C$12="Level I",'Level I_Departments'!C7,'Level IIandIII_Departments'!C7)</f>
        <v>Administrative/Overhead services -&gt; Human Resource Management</v>
      </c>
    </row>
    <row r="6" spans="1:2">
      <c r="A6" s="26">
        <f t="shared" si="0"/>
        <v>5</v>
      </c>
      <c r="B6" s="26" t="str">
        <f>IF('10.1 Payroll'!$C$12="Level I",'Level I_Departments'!C8,'Level IIandIII_Departments'!C8)</f>
        <v>Administrative/Overhead services -&gt; Procurement</v>
      </c>
    </row>
    <row r="7" spans="1:2">
      <c r="A7" s="26">
        <f t="shared" si="0"/>
        <v>6</v>
      </c>
      <c r="B7" s="26" t="str">
        <f>IF('10.1 Payroll'!$C$12="Level I",'Level I_Departments'!C9,'Level IIandIII_Departments'!C9)</f>
        <v>Administrative/Overhead services -&gt; Materials Management</v>
      </c>
    </row>
    <row r="8" spans="1:2">
      <c r="A8" s="26">
        <f t="shared" si="0"/>
        <v>7</v>
      </c>
      <c r="B8" s="26" t="str">
        <f>IF('10.1 Payroll'!$C$12="Level I",'Level I_Departments'!C10,'Level IIandIII_Departments'!C10)</f>
        <v>Administrative/Overhead services -&gt; Engineering and Facilities Management</v>
      </c>
    </row>
    <row r="9" spans="1:2">
      <c r="A9" s="26">
        <f t="shared" si="0"/>
        <v>8</v>
      </c>
      <c r="B9" s="26" t="str">
        <f>IF('10.1 Payroll'!$C$12="Level I",'Level I_Departments'!C11,'Level IIandIII_Departments'!C11)</f>
        <v>Administrative/Overhead services -&gt; Housekeeping</v>
      </c>
    </row>
    <row r="10" spans="1:2">
      <c r="A10" s="26">
        <f t="shared" si="0"/>
        <v>9</v>
      </c>
      <c r="B10" s="26" t="str">
        <f>IF('10.1 Payroll'!$C$12="Level I",'Level I_Departments'!C12,'Level IIandIII_Departments'!C12)</f>
        <v>Administrative/Overhead services -&gt; Budget and Accounting</v>
      </c>
    </row>
    <row r="11" spans="1:2">
      <c r="A11" s="26">
        <f t="shared" si="0"/>
        <v>10</v>
      </c>
      <c r="B11" s="26" t="str">
        <f>IF('10.1 Payroll'!$C$12="Level I",'Level I_Departments'!C13,'Level IIandIII_Departments'!C13)</f>
        <v>Administrative/Overhead services -&gt; Medical Social Work</v>
      </c>
    </row>
    <row r="12" spans="1:2">
      <c r="A12" s="26">
        <f t="shared" si="0"/>
        <v>11</v>
      </c>
      <c r="B12" s="26" t="str">
        <f>IF('10.1 Payroll'!$C$12="Level I",'Level I_Departments'!C14,'Level IIandIII_Departments'!C14)</f>
        <v>Administrative/Overhead services -&gt; Office of the Chief Nurse</v>
      </c>
    </row>
    <row r="13" spans="1:2">
      <c r="A13" s="26">
        <f t="shared" si="0"/>
        <v>12</v>
      </c>
      <c r="B13" s="26" t="str">
        <f>IF('10.1 Payroll'!$C$12="Level I",'Level I_Departments'!C15,'Level IIandIII_Departments'!C15)</f>
        <v>Administrative/Overhead services -&gt; Health Info Mgt (Admitting)</v>
      </c>
    </row>
    <row r="14" spans="1:2">
      <c r="A14" s="26">
        <f t="shared" si="0"/>
        <v>13</v>
      </c>
      <c r="B14" s="26" t="str">
        <f>IF('10.1 Payroll'!$C$12="Level I",'Level I_Departments'!C16,'Level IIandIII_Departments'!C16)</f>
        <v>Administrative/Overhead services -&gt; Central Supply Office</v>
      </c>
    </row>
    <row r="15" spans="1:2">
      <c r="A15" s="26">
        <f t="shared" si="0"/>
        <v>14</v>
      </c>
      <c r="B15" s="26" t="str">
        <f>IF('10.1 Payroll'!$C$12="Level I",'Level I_Departments'!C17,'Level IIandIII_Departments'!C17)</f>
        <v>Administrative/Overhead services -&gt; Billing and Claims</v>
      </c>
    </row>
    <row r="16" spans="1:2">
      <c r="A16" s="26">
        <f t="shared" si="0"/>
        <v>15</v>
      </c>
      <c r="B16" s="26" t="str">
        <f>IF('10.1 Payroll'!$C$12="Level I",'Level I_Departments'!C18,'Level IIandIII_Departments'!C18)</f>
        <v>Administrative/Overhead services -&gt; Cash Operations</v>
      </c>
    </row>
    <row r="17" spans="1:2">
      <c r="A17" s="26">
        <f t="shared" si="0"/>
        <v>16</v>
      </c>
      <c r="B17" s="26" t="str">
        <f>IF('10.1 Payroll'!$C$12="Level I",'Level I_Departments'!C19,'Level IIandIII_Departments'!C19)</f>
        <v>Administrative/Overhead services -&gt; Security</v>
      </c>
    </row>
    <row r="18" spans="1:2">
      <c r="A18" s="26">
        <f t="shared" si="0"/>
        <v>17</v>
      </c>
      <c r="B18" s="26" t="str">
        <f>IF('10.1 Payroll'!$C$12="Level I",'Level I_Departments'!C20,'Level IIandIII_Departments'!C20)</f>
        <v>Administrative/Overhead services -&gt; Office of the Chief of Medical Professional Staff</v>
      </c>
    </row>
    <row r="19" spans="1:2">
      <c r="A19" s="26">
        <f t="shared" si="0"/>
        <v>18</v>
      </c>
      <c r="B19" s="26" t="str">
        <f>IF('10.1 Payroll'!$C$12="Level I",'Level I_Departments'!C21,'Level IIandIII_Departments'!C21)</f>
        <v>Administrative/Overhead services -&gt; Others</v>
      </c>
    </row>
    <row r="20" spans="1:2">
      <c r="A20" s="26">
        <f t="shared" si="0"/>
        <v>19</v>
      </c>
      <c r="B20" s="26" t="str">
        <f>IF('10.1 Payroll'!$C$12="Level I",'Level I_Departments'!C22,'Level IIandIII_Departments'!C22)</f>
        <v>Ancillary services/Support services -&gt; Laundry</v>
      </c>
    </row>
    <row r="21" spans="1:2">
      <c r="A21" s="26">
        <f t="shared" si="0"/>
        <v>20</v>
      </c>
      <c r="B21" s="26" t="str">
        <f>IF('10.1 Payroll'!$C$12="Level I",'Level I_Departments'!C23,'Level IIandIII_Departments'!C23)</f>
        <v>Ancillary services/Support services -&gt; Nutrition and Dietetics</v>
      </c>
    </row>
    <row r="22" spans="1:2">
      <c r="A22" s="26">
        <f t="shared" si="0"/>
        <v>21</v>
      </c>
      <c r="B22" s="26" t="str">
        <f>IF('10.1 Payroll'!$C$12="Level I",'Level I_Departments'!C24,'Level IIandIII_Departments'!C24)</f>
        <v>Ancillary services/Support services -&gt; Sterilization</v>
      </c>
    </row>
    <row r="23" spans="1:2">
      <c r="A23" s="26">
        <f t="shared" si="0"/>
        <v>22</v>
      </c>
      <c r="B23" s="26" t="str">
        <f>IF('10.1 Payroll'!$C$12="Level I",'Level I_Departments'!C25,'Level IIandIII_Departments'!C25)</f>
        <v>Ancillary services/Support services -&gt; Pharmacy</v>
      </c>
    </row>
    <row r="24" spans="1:2">
      <c r="A24" s="26">
        <f t="shared" si="0"/>
        <v>23</v>
      </c>
      <c r="B24" s="26" t="str">
        <f>IF('10.1 Payroll'!$C$12="Level I",'Level I_Departments'!C26,'Level IIandIII_Departments'!C26)</f>
        <v>Ancillary services/Support services -&gt; Blood Bank</v>
      </c>
    </row>
    <row r="25" spans="1:2">
      <c r="A25" s="26">
        <f t="shared" si="0"/>
        <v>24</v>
      </c>
      <c r="B25" s="26" t="str">
        <f>IF('10.1 Payroll'!$C$12="Level I",'Level I_Departments'!C27,'Level IIandIII_Departments'!C27)</f>
        <v>Ancillary services/Support services -&gt; Laboratory</v>
      </c>
    </row>
    <row r="26" spans="1:2">
      <c r="A26" s="26">
        <f t="shared" si="0"/>
        <v>25</v>
      </c>
      <c r="B26" s="26" t="str">
        <f>IF('10.1 Payroll'!$C$12="Level I",'Level I_Departments'!C28,'Level IIandIII_Departments'!C28)</f>
        <v>Ancillary services/Support services -&gt; Radiology / Diagnostic Imaging (CT Scan, MRI, ECG, Mammography, Endoscopy)</v>
      </c>
    </row>
    <row r="27" spans="1:2">
      <c r="A27" s="26">
        <f t="shared" si="0"/>
        <v>26</v>
      </c>
      <c r="B27" s="26" t="str">
        <f>IF('10.1 Payroll'!$C$12="Level I",'Level I_Departments'!C29,'Level IIandIII_Departments'!C29)</f>
        <v>Ancillary services/Support services -&gt; Physiotherapy / Rehabilitation</v>
      </c>
    </row>
    <row r="28" spans="1:2">
      <c r="A28" s="26">
        <f t="shared" si="0"/>
        <v>27</v>
      </c>
      <c r="B28" s="26" t="str">
        <f>IF('10.1 Payroll'!$C$12="Level I",'Level I_Departments'!C30,'Level IIandIII_Departments'!C30)</f>
        <v>Ancillary services/Support services -&gt; Delivery Room</v>
      </c>
    </row>
    <row r="29" spans="1:2">
      <c r="A29" s="26">
        <f t="shared" si="0"/>
        <v>28</v>
      </c>
      <c r="B29" s="26" t="str">
        <f>IF('10.1 Payroll'!$C$12="Level I",'Level I_Departments'!C31,'Level IIandIII_Departments'!C31)</f>
        <v>Ancillary services/Support services -&gt; Operating Room / Aneasthesiology / PACU / Recovery Room</v>
      </c>
    </row>
    <row r="30" spans="1:2">
      <c r="A30" s="26">
        <f t="shared" si="0"/>
        <v>29</v>
      </c>
      <c r="B30" s="26" t="str">
        <f>IF('10.1 Payroll'!$C$12="Level I",'Level I_Departments'!C32,'Level IIandIII_Departments'!C32)</f>
        <v>Ancillary services/Support services -&gt; Respiratory Unit</v>
      </c>
    </row>
    <row r="31" spans="1:2">
      <c r="A31" s="26">
        <f t="shared" si="0"/>
        <v>30</v>
      </c>
      <c r="B31" s="26" t="str">
        <f>IF('10.1 Payroll'!$C$12="Level I",'Level I_Departments'!C33,'Level IIandIII_Departments'!C33)</f>
        <v>Ancillary services/Support services -&gt; Medical ICU</v>
      </c>
    </row>
    <row r="32" spans="1:2">
      <c r="A32" s="26">
        <f t="shared" si="0"/>
        <v>31</v>
      </c>
      <c r="B32" s="26" t="str">
        <f>IF('10.1 Payroll'!$C$12="Level I",'Level I_Departments'!C34,'Level IIandIII_Departments'!C34)</f>
        <v>Ancillary services/Support services -&gt; Neonatal ICU*</v>
      </c>
    </row>
    <row r="33" spans="1:2">
      <c r="A33" s="26">
        <f t="shared" si="0"/>
        <v>32</v>
      </c>
      <c r="B33" s="26" t="str">
        <f>IF('10.1 Payroll'!$C$12="Level I",'Level I_Departments'!C35,'Level IIandIII_Departments'!C35)</f>
        <v>Ancillary services/Support services -&gt; Surgical ICU*</v>
      </c>
    </row>
    <row r="34" spans="1:2">
      <c r="A34" s="26">
        <f t="shared" si="0"/>
        <v>33</v>
      </c>
      <c r="B34" s="26" t="str">
        <f>IF('10.1 Payroll'!$C$12="Level I",'Level I_Departments'!C36,'Level IIandIII_Departments'!C36)</f>
        <v>Ancillary services/Support services -&gt; Pediatric ICU*</v>
      </c>
    </row>
    <row r="35" spans="1:2">
      <c r="A35" s="26">
        <f t="shared" ref="A35:A67" si="1">A34+1</f>
        <v>34</v>
      </c>
      <c r="B35" s="26" t="str">
        <f>IF('10.1 Payroll'!$C$12="Level I",'Level I_Departments'!C37,'Level IIandIII_Departments'!C37)</f>
        <v>Ancillary services/Support services -&gt; Burn Unit</v>
      </c>
    </row>
    <row r="36" spans="1:2">
      <c r="A36" s="26">
        <f t="shared" si="1"/>
        <v>35</v>
      </c>
      <c r="B36" s="26" t="str">
        <f>IF('10.1 Payroll'!$C$12="Level I",'Level I_Departments'!C38,'Level IIandIII_Departments'!C38)</f>
        <v>Ancillary services/Support services -&gt; Morgue</v>
      </c>
    </row>
    <row r="37" spans="1:2">
      <c r="A37" s="26">
        <f t="shared" si="1"/>
        <v>36</v>
      </c>
      <c r="B37" s="26" t="str">
        <f>IF('10.1 Payroll'!$C$12="Level I",'Level I_Departments'!C39,'Level IIandIII_Departments'!C39)</f>
        <v>Ancillary services/Support services -&gt; Others</v>
      </c>
    </row>
    <row r="38" spans="1:2">
      <c r="A38" s="26">
        <f t="shared" si="1"/>
        <v>37</v>
      </c>
      <c r="B38" s="26" t="str">
        <f>IF('10.1 Payroll'!$C$12="Level I",'Level I_Departments'!C40,'Level IIandIII_Departments'!C40)</f>
        <v>Clinical/Medical services -&gt; Outpatient Department (general)</v>
      </c>
    </row>
    <row r="39" spans="1:2">
      <c r="A39" s="26">
        <f t="shared" si="1"/>
        <v>38</v>
      </c>
      <c r="B39" s="26" t="str">
        <f>IF('10.1 Payroll'!$C$12="Level I",'Level I_Departments'!C41,'Level IIandIII_Departments'!C41)</f>
        <v>Clinical/Medical services -&gt; Animal Bite Center</v>
      </c>
    </row>
    <row r="40" spans="1:2">
      <c r="A40" s="26">
        <f t="shared" si="1"/>
        <v>39</v>
      </c>
      <c r="B40" s="26" t="str">
        <f>IF('10.1 Payroll'!$C$12="Level I",'Level I_Departments'!C42,'Level IIandIII_Departments'!C42)</f>
        <v>Clinical/Medical services -&gt; TB Dots</v>
      </c>
    </row>
    <row r="41" spans="1:2">
      <c r="A41" s="26">
        <f t="shared" si="1"/>
        <v>40</v>
      </c>
      <c r="B41" s="26" t="str">
        <f>IF('10.1 Payroll'!$C$12="Level I",'Level I_Departments'!C43,'Level IIandIII_Departments'!C43)</f>
        <v>Clinical/Medical services -&gt; HIV Aids</v>
      </c>
    </row>
    <row r="42" spans="1:2">
      <c r="A42" s="26">
        <f t="shared" si="1"/>
        <v>41</v>
      </c>
      <c r="B42" s="26" t="str">
        <f>IF('10.1 Payroll'!$C$12="Level I",'Level I_Departments'!C44,'Level IIandIII_Departments'!C44)</f>
        <v>Clinical/Medical services -&gt; Family Planning Unit</v>
      </c>
    </row>
    <row r="43" spans="1:2">
      <c r="A43" s="26">
        <f t="shared" si="1"/>
        <v>42</v>
      </c>
      <c r="B43" s="26" t="str">
        <f>IF('10.1 Payroll'!$C$12="Level I",'Level I_Departments'!C45,'Level IIandIII_Departments'!C45)</f>
        <v>Clinical/Medical services -&gt; Smoking Cessation</v>
      </c>
    </row>
    <row r="44" spans="1:2">
      <c r="A44" s="26">
        <f t="shared" si="1"/>
        <v>43</v>
      </c>
      <c r="B44" s="26" t="str">
        <f>IF('10.1 Payroll'!$C$12="Level I",'Level I_Departments'!C46,'Level IIandIII_Departments'!C46)</f>
        <v>Clinical/Medical services -&gt; Malaria</v>
      </c>
    </row>
    <row r="45" spans="1:2">
      <c r="A45" s="26">
        <f t="shared" si="1"/>
        <v>44</v>
      </c>
      <c r="B45" s="26" t="str">
        <f>IF('10.1 Payroll'!$C$12="Level I",'Level I_Departments'!C47,'Level IIandIII_Departments'!C47)</f>
        <v xml:space="preserve">Clinical/Medical services -&gt; Diabetes </v>
      </c>
    </row>
    <row r="46" spans="1:2">
      <c r="A46" s="26">
        <f t="shared" si="1"/>
        <v>45</v>
      </c>
      <c r="B46" s="26" t="str">
        <f>IF('10.1 Payroll'!$C$12="Level I",'Level I_Departments'!C48,'Level IIandIII_Departments'!C48)</f>
        <v>Clinical/Medical services -&gt; Hypertension</v>
      </c>
    </row>
    <row r="47" spans="1:2">
      <c r="A47" s="26">
        <f t="shared" si="1"/>
        <v>46</v>
      </c>
      <c r="B47" s="26" t="str">
        <f>IF('10.1 Payroll'!$C$12="Level I",'Level I_Departments'!C49,'Level IIandIII_Departments'!C49)</f>
        <v>Clinical/Medical services -&gt; Emergency Medicine Department</v>
      </c>
    </row>
    <row r="48" spans="1:2">
      <c r="A48" s="26">
        <f t="shared" si="1"/>
        <v>47</v>
      </c>
      <c r="B48" s="26" t="str">
        <f>IF('10.1 Payroll'!$C$12="Level I",'Level I_Departments'!C50,'Level IIandIII_Departments'!C50)</f>
        <v>Clinical/Medical services -&gt; Dialysis Unit</v>
      </c>
    </row>
    <row r="49" spans="1:2">
      <c r="A49" s="26">
        <f t="shared" si="1"/>
        <v>48</v>
      </c>
      <c r="B49" s="26" t="str">
        <f>IF('10.1 Payroll'!$C$12="Level I",'Level I_Departments'!C51,'Level IIandIII_Departments'!C51)</f>
        <v>Clinical/Medical services -&gt; Radiation Oncology Unit*</v>
      </c>
    </row>
    <row r="50" spans="1:2">
      <c r="A50" s="26">
        <f t="shared" si="1"/>
        <v>49</v>
      </c>
      <c r="B50" s="26" t="str">
        <f>IF('10.1 Payroll'!$C$12="Level I",'Level I_Departments'!C52,'Level IIandIII_Departments'!C52)</f>
        <v>Clinical/Medical services -&gt; Dental</v>
      </c>
    </row>
    <row r="51" spans="1:2">
      <c r="A51" s="26">
        <f t="shared" si="1"/>
        <v>50</v>
      </c>
      <c r="B51" s="26" t="str">
        <f>IF('10.1 Payroll'!$C$12="Level I",'Level I_Departments'!C53,'Level IIandIII_Departments'!C53)</f>
        <v>Clinical/Medical services -&gt; Internal Medicine Ward</v>
      </c>
    </row>
    <row r="52" spans="1:2">
      <c r="A52" s="26">
        <f t="shared" si="1"/>
        <v>51</v>
      </c>
      <c r="B52" s="26" t="str">
        <f>IF('10.1 Payroll'!$C$12="Level I",'Level I_Departments'!C54,'Level IIandIII_Departments'!C54)</f>
        <v>Clinical/Medical services -&gt; Pediatric Ward</v>
      </c>
    </row>
    <row r="53" spans="1:2">
      <c r="A53" s="26">
        <f t="shared" si="1"/>
        <v>52</v>
      </c>
      <c r="B53" s="26" t="str">
        <f>IF('10.1 Payroll'!$C$12="Level I",'Level I_Departments'!C55,'Level IIandIII_Departments'!C55)</f>
        <v>Clinical/Medical services -&gt; Surgical Ward</v>
      </c>
    </row>
    <row r="54" spans="1:2">
      <c r="A54" s="26">
        <f t="shared" si="1"/>
        <v>53</v>
      </c>
      <c r="B54" s="26" t="str">
        <f>IF('10.1 Payroll'!$C$12="Level I",'Level I_Departments'!C56,'Level IIandIII_Departments'!C56)</f>
        <v>Clinical/Medical services -&gt; Ob/Gyne Ward</v>
      </c>
    </row>
    <row r="55" spans="1:2">
      <c r="A55" s="26">
        <f t="shared" si="1"/>
        <v>54</v>
      </c>
      <c r="B55" s="26" t="str">
        <f>IF('10.1 Payroll'!$C$12="Level I",'Level I_Departments'!C57,'Level IIandIII_Departments'!C57)</f>
        <v>Clinical/Medical services -&gt; Private Ward</v>
      </c>
    </row>
    <row r="56" spans="1:2">
      <c r="A56" s="26">
        <f t="shared" si="1"/>
        <v>55</v>
      </c>
      <c r="B56" s="26">
        <f>IF('10.1 Payroll'!$C$12="Level I",'Level I_Departments'!C58,'Level IIandIII_Departments'!C58)</f>
        <v>0</v>
      </c>
    </row>
    <row r="57" spans="1:2">
      <c r="A57" s="26">
        <f t="shared" si="1"/>
        <v>56</v>
      </c>
      <c r="B57" s="26">
        <f>IF('10.1 Payroll'!$C$12="Level I",'Level I_Departments'!C59,'Level IIandIII_Departments'!C59)</f>
        <v>0</v>
      </c>
    </row>
    <row r="58" spans="1:2">
      <c r="A58" s="26">
        <f t="shared" si="1"/>
        <v>57</v>
      </c>
      <c r="B58" s="26">
        <f>IF('10.1 Payroll'!$C$12="Level I",'Level I_Departments'!C60,'Level IIandIII_Departments'!C60)</f>
        <v>0</v>
      </c>
    </row>
    <row r="59" spans="1:2">
      <c r="A59" s="26">
        <f t="shared" si="1"/>
        <v>58</v>
      </c>
      <c r="B59" s="26">
        <f>IF('10.1 Payroll'!$C$12="Level I",'Level I_Departments'!C61,'Level IIandIII_Departments'!C61)</f>
        <v>0</v>
      </c>
    </row>
    <row r="60" spans="1:2">
      <c r="A60" s="26">
        <f t="shared" si="1"/>
        <v>59</v>
      </c>
      <c r="B60" s="26">
        <f>IF('10.1 Payroll'!$C$12="Level I",'Level I_Departments'!C62,'Level IIandIII_Departments'!C62)</f>
        <v>0</v>
      </c>
    </row>
    <row r="61" spans="1:2">
      <c r="A61" s="26">
        <f t="shared" si="1"/>
        <v>60</v>
      </c>
      <c r="B61" s="26">
        <f>IF('10.1 Payroll'!$C$12="Level I",'Level I_Departments'!C63,'Level IIandIII_Departments'!C63)</f>
        <v>0</v>
      </c>
    </row>
    <row r="62" spans="1:2">
      <c r="A62" s="26">
        <f t="shared" si="1"/>
        <v>61</v>
      </c>
      <c r="B62" s="26">
        <f>IF('10.1 Payroll'!$C$12="Level I",'Level I_Departments'!C64,'Level IIandIII_Departments'!C64)</f>
        <v>0</v>
      </c>
    </row>
    <row r="63" spans="1:2">
      <c r="A63" s="26">
        <f t="shared" si="1"/>
        <v>62</v>
      </c>
      <c r="B63" s="26">
        <f>IF('10.1 Payroll'!$C$12="Level I",'Level I_Departments'!C65,'Level IIandIII_Departments'!C65)</f>
        <v>0</v>
      </c>
    </row>
    <row r="64" spans="1:2">
      <c r="A64" s="26">
        <f t="shared" si="1"/>
        <v>63</v>
      </c>
      <c r="B64" s="26">
        <f>IF('10.1 Payroll'!$C$12="Level I",'Level I_Departments'!C66,'Level IIandIII_Departments'!C66)</f>
        <v>0</v>
      </c>
    </row>
    <row r="65" spans="1:2">
      <c r="A65" s="26">
        <f t="shared" si="1"/>
        <v>64</v>
      </c>
      <c r="B65" s="26">
        <f>IF('10.1 Payroll'!$C$12="Level I",'Level I_Departments'!C67,'Level IIandIII_Departments'!C67)</f>
        <v>0</v>
      </c>
    </row>
    <row r="66" spans="1:2">
      <c r="A66" s="26">
        <f t="shared" si="1"/>
        <v>65</v>
      </c>
      <c r="B66" s="26">
        <f>IF('10.1 Payroll'!$C$12="Level I",'Level I_Departments'!C68,'Level IIandIII_Departments'!C68)</f>
        <v>0</v>
      </c>
    </row>
    <row r="67" spans="1:2">
      <c r="A67" s="26">
        <f t="shared" si="1"/>
        <v>66</v>
      </c>
      <c r="B67" s="26">
        <f>IF('10.1 Payroll'!$C$12="Level I",'Level I_Departments'!C69,'Level IIandIII_Departments'!C69)</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outlinePr summaryBelow="0" summaryRight="0"/>
  </sheetPr>
  <dimension ref="A1:C1004"/>
  <sheetViews>
    <sheetView topLeftCell="A2" workbookViewId="0">
      <selection activeCell="B22" sqref="B22"/>
    </sheetView>
  </sheetViews>
  <sheetFormatPr defaultColWidth="14.42578125" defaultRowHeight="15" customHeight="1"/>
  <cols>
    <col min="1" max="1" width="39.5703125" style="28" customWidth="1"/>
    <col min="2" max="2" width="65.7109375" style="28" customWidth="1"/>
    <col min="3" max="3" width="86.5703125" style="28" bestFit="1" customWidth="1"/>
    <col min="4" max="16384" width="14.42578125" style="28"/>
  </cols>
  <sheetData>
    <row r="1" spans="1:3" ht="15" customHeight="1">
      <c r="A1" s="42" t="s">
        <v>192</v>
      </c>
      <c r="B1" s="31"/>
    </row>
    <row r="2" spans="1:3" ht="15" customHeight="1">
      <c r="A2" s="31"/>
      <c r="B2" s="31"/>
    </row>
    <row r="3" spans="1:3" ht="15" customHeight="1">
      <c r="A3" s="41" t="s">
        <v>191</v>
      </c>
      <c r="B3" s="40" t="s">
        <v>190</v>
      </c>
    </row>
    <row r="4" spans="1:3" ht="15" customHeight="1">
      <c r="A4" s="36" t="s">
        <v>172</v>
      </c>
      <c r="B4" s="40" t="s">
        <v>189</v>
      </c>
      <c r="C4" s="32" t="str">
        <f t="shared" ref="C4:C35" si="0">CONCATENATE(A4, " -&gt; ",B4)</f>
        <v>Administrative/Overhead services -&gt; Office of the Medical Center Chief</v>
      </c>
    </row>
    <row r="5" spans="1:3" ht="15" customHeight="1">
      <c r="A5" s="36" t="s">
        <v>172</v>
      </c>
      <c r="B5" s="39" t="s">
        <v>188</v>
      </c>
      <c r="C5" s="32" t="str">
        <f t="shared" si="0"/>
        <v>Administrative/Overhead services -&gt; IT Departments</v>
      </c>
    </row>
    <row r="6" spans="1:3" ht="15" customHeight="1">
      <c r="A6" s="36" t="s">
        <v>172</v>
      </c>
      <c r="B6" s="39" t="s">
        <v>187</v>
      </c>
      <c r="C6" s="32" t="str">
        <f t="shared" si="0"/>
        <v>Administrative/Overhead services -&gt; Office of the Administrative Officer</v>
      </c>
    </row>
    <row r="7" spans="1:3" ht="15" customHeight="1">
      <c r="A7" s="36" t="s">
        <v>172</v>
      </c>
      <c r="B7" s="39" t="s">
        <v>186</v>
      </c>
      <c r="C7" s="32" t="str">
        <f t="shared" si="0"/>
        <v>Administrative/Overhead services -&gt; Human Resource Management</v>
      </c>
    </row>
    <row r="8" spans="1:3" ht="15" customHeight="1">
      <c r="A8" s="36" t="s">
        <v>172</v>
      </c>
      <c r="B8" s="39" t="s">
        <v>185</v>
      </c>
      <c r="C8" s="32" t="str">
        <f t="shared" si="0"/>
        <v>Administrative/Overhead services -&gt; Procurement</v>
      </c>
    </row>
    <row r="9" spans="1:3" ht="15" customHeight="1">
      <c r="A9" s="36" t="s">
        <v>172</v>
      </c>
      <c r="B9" s="39" t="s">
        <v>184</v>
      </c>
      <c r="C9" s="32" t="str">
        <f t="shared" si="0"/>
        <v>Administrative/Overhead services -&gt; Materials Management</v>
      </c>
    </row>
    <row r="10" spans="1:3" ht="15" customHeight="1">
      <c r="A10" s="36" t="s">
        <v>172</v>
      </c>
      <c r="B10" s="39" t="s">
        <v>183</v>
      </c>
      <c r="C10" s="32" t="str">
        <f t="shared" si="0"/>
        <v>Administrative/Overhead services -&gt; Engineering and Facilities Management</v>
      </c>
    </row>
    <row r="11" spans="1:3" ht="15" customHeight="1">
      <c r="A11" s="36" t="s">
        <v>172</v>
      </c>
      <c r="B11" s="39" t="s">
        <v>182</v>
      </c>
      <c r="C11" s="32" t="str">
        <f t="shared" si="0"/>
        <v>Administrative/Overhead services -&gt; Housekeeping</v>
      </c>
    </row>
    <row r="12" spans="1:3" ht="15" customHeight="1">
      <c r="A12" s="36" t="s">
        <v>172</v>
      </c>
      <c r="B12" s="39" t="s">
        <v>181</v>
      </c>
      <c r="C12" s="32" t="str">
        <f t="shared" si="0"/>
        <v>Administrative/Overhead services -&gt; Budget and Accounting</v>
      </c>
    </row>
    <row r="13" spans="1:3" ht="15" customHeight="1">
      <c r="A13" s="36" t="s">
        <v>172</v>
      </c>
      <c r="B13" s="39" t="s">
        <v>180</v>
      </c>
      <c r="C13" s="32" t="str">
        <f t="shared" si="0"/>
        <v>Administrative/Overhead services -&gt; Medical Social Work</v>
      </c>
    </row>
    <row r="14" spans="1:3" ht="15" customHeight="1">
      <c r="A14" s="36" t="s">
        <v>172</v>
      </c>
      <c r="B14" s="39" t="s">
        <v>179</v>
      </c>
      <c r="C14" s="32" t="str">
        <f t="shared" si="0"/>
        <v>Administrative/Overhead services -&gt; Office of the Chief Nurse</v>
      </c>
    </row>
    <row r="15" spans="1:3" ht="15" customHeight="1">
      <c r="A15" s="36" t="s">
        <v>172</v>
      </c>
      <c r="B15" s="39" t="s">
        <v>178</v>
      </c>
      <c r="C15" s="32" t="str">
        <f t="shared" si="0"/>
        <v>Administrative/Overhead services -&gt; Health Info Mgt (Admitting)</v>
      </c>
    </row>
    <row r="16" spans="1:3" ht="15" customHeight="1">
      <c r="A16" s="36" t="s">
        <v>172</v>
      </c>
      <c r="B16" s="39" t="s">
        <v>177</v>
      </c>
      <c r="C16" s="32" t="str">
        <f t="shared" si="0"/>
        <v>Administrative/Overhead services -&gt; Central Supply Office</v>
      </c>
    </row>
    <row r="17" spans="1:3" ht="15" customHeight="1">
      <c r="A17" s="36" t="s">
        <v>172</v>
      </c>
      <c r="B17" s="39" t="s">
        <v>176</v>
      </c>
      <c r="C17" s="32" t="str">
        <f t="shared" si="0"/>
        <v>Administrative/Overhead services -&gt; Billing and Claims</v>
      </c>
    </row>
    <row r="18" spans="1:3" ht="15" customHeight="1">
      <c r="A18" s="36" t="s">
        <v>172</v>
      </c>
      <c r="B18" s="39" t="s">
        <v>175</v>
      </c>
      <c r="C18" s="32" t="str">
        <f t="shared" si="0"/>
        <v>Administrative/Overhead services -&gt; Cash Operations</v>
      </c>
    </row>
    <row r="19" spans="1:3" ht="15" customHeight="1">
      <c r="A19" s="36" t="s">
        <v>172</v>
      </c>
      <c r="B19" s="39" t="s">
        <v>174</v>
      </c>
      <c r="C19" s="32" t="str">
        <f t="shared" si="0"/>
        <v>Administrative/Overhead services -&gt; Security</v>
      </c>
    </row>
    <row r="20" spans="1:3" ht="15" customHeight="1">
      <c r="A20" s="36" t="s">
        <v>172</v>
      </c>
      <c r="B20" s="39" t="s">
        <v>173</v>
      </c>
      <c r="C20" s="32" t="str">
        <f t="shared" si="0"/>
        <v>Administrative/Overhead services -&gt; Office of the Chief of Medical Professional Staff</v>
      </c>
    </row>
    <row r="21" spans="1:3" ht="15" customHeight="1">
      <c r="A21" s="36" t="s">
        <v>172</v>
      </c>
      <c r="B21" s="36" t="s">
        <v>153</v>
      </c>
      <c r="C21" s="32" t="str">
        <f t="shared" si="0"/>
        <v>Administrative/Overhead services -&gt; Others</v>
      </c>
    </row>
    <row r="22" spans="1:3" ht="15" customHeight="1">
      <c r="A22" s="33" t="s">
        <v>154</v>
      </c>
      <c r="B22" s="33" t="s">
        <v>171</v>
      </c>
      <c r="C22" s="32" t="str">
        <f t="shared" si="0"/>
        <v>Ancillary services/Support services -&gt; Laundry</v>
      </c>
    </row>
    <row r="23" spans="1:3" ht="15" customHeight="1">
      <c r="A23" s="33" t="s">
        <v>154</v>
      </c>
      <c r="B23" s="33" t="s">
        <v>170</v>
      </c>
      <c r="C23" s="32" t="str">
        <f t="shared" si="0"/>
        <v>Ancillary services/Support services -&gt; Nutrition and Dietetics</v>
      </c>
    </row>
    <row r="24" spans="1:3" ht="15" customHeight="1">
      <c r="A24" s="33" t="s">
        <v>154</v>
      </c>
      <c r="B24" s="35" t="s">
        <v>169</v>
      </c>
      <c r="C24" s="32" t="str">
        <f t="shared" si="0"/>
        <v>Ancillary services/Support services -&gt; Sterilization</v>
      </c>
    </row>
    <row r="25" spans="1:3" ht="15" customHeight="1">
      <c r="A25" s="33" t="s">
        <v>154</v>
      </c>
      <c r="B25" s="33" t="s">
        <v>168</v>
      </c>
      <c r="C25" s="32" t="str">
        <f t="shared" si="0"/>
        <v>Ancillary services/Support services -&gt; Pharmacy</v>
      </c>
    </row>
    <row r="26" spans="1:3" ht="16.5">
      <c r="A26" s="33" t="s">
        <v>154</v>
      </c>
      <c r="B26" s="35" t="s">
        <v>167</v>
      </c>
      <c r="C26" s="32" t="str">
        <f t="shared" si="0"/>
        <v>Ancillary services/Support services -&gt; Blood Bank</v>
      </c>
    </row>
    <row r="27" spans="1:3" ht="16.5">
      <c r="A27" s="33" t="s">
        <v>154</v>
      </c>
      <c r="B27" s="33" t="s">
        <v>166</v>
      </c>
      <c r="C27" s="32" t="str">
        <f t="shared" si="0"/>
        <v>Ancillary services/Support services -&gt; Laboratory</v>
      </c>
    </row>
    <row r="28" spans="1:3" ht="16.5">
      <c r="A28" s="33" t="s">
        <v>154</v>
      </c>
      <c r="B28" s="33" t="s">
        <v>165</v>
      </c>
      <c r="C28" s="32" t="str">
        <f t="shared" si="0"/>
        <v>Ancillary services/Support services -&gt; Radiology / Diagnostic Imaging (CT Scan, MRI, ECG, Mammography, Endoscopy)</v>
      </c>
    </row>
    <row r="29" spans="1:3" ht="16.5">
      <c r="A29" s="33" t="s">
        <v>154</v>
      </c>
      <c r="B29" s="33" t="s">
        <v>164</v>
      </c>
      <c r="C29" s="32" t="str">
        <f t="shared" si="0"/>
        <v>Ancillary services/Support services -&gt; Physiotherapy / Rehabilitation</v>
      </c>
    </row>
    <row r="30" spans="1:3" ht="16.5">
      <c r="A30" s="33" t="s">
        <v>154</v>
      </c>
      <c r="B30" s="33" t="s">
        <v>163</v>
      </c>
      <c r="C30" s="32" t="str">
        <f t="shared" si="0"/>
        <v>Ancillary services/Support services -&gt; Delivery Room</v>
      </c>
    </row>
    <row r="31" spans="1:3" ht="16.5">
      <c r="A31" s="33" t="s">
        <v>154</v>
      </c>
      <c r="B31" s="38" t="s">
        <v>162</v>
      </c>
      <c r="C31" s="32" t="str">
        <f t="shared" si="0"/>
        <v>Ancillary services/Support services -&gt; Operating Room / Aneasthesiology / PACU / Recovery Room</v>
      </c>
    </row>
    <row r="32" spans="1:3" ht="16.5">
      <c r="A32" s="33" t="s">
        <v>154</v>
      </c>
      <c r="B32" s="33" t="s">
        <v>161</v>
      </c>
      <c r="C32" s="32" t="str">
        <f t="shared" si="0"/>
        <v>Ancillary services/Support services -&gt; Respiratory Unit</v>
      </c>
    </row>
    <row r="33" spans="1:3" ht="16.5">
      <c r="A33" s="33" t="s">
        <v>154</v>
      </c>
      <c r="B33" s="38" t="s">
        <v>160</v>
      </c>
      <c r="C33" s="32" t="str">
        <f t="shared" si="0"/>
        <v>Ancillary services/Support services -&gt; Medical ICU</v>
      </c>
    </row>
    <row r="34" spans="1:3" ht="16.5">
      <c r="A34" s="33" t="s">
        <v>154</v>
      </c>
      <c r="B34" s="38" t="s">
        <v>159</v>
      </c>
      <c r="C34" s="32" t="str">
        <f t="shared" si="0"/>
        <v>Ancillary services/Support services -&gt; Neonatal ICU*</v>
      </c>
    </row>
    <row r="35" spans="1:3" ht="16.5">
      <c r="A35" s="33" t="s">
        <v>154</v>
      </c>
      <c r="B35" s="38" t="s">
        <v>158</v>
      </c>
      <c r="C35" s="32" t="str">
        <f t="shared" si="0"/>
        <v>Ancillary services/Support services -&gt; Surgical ICU*</v>
      </c>
    </row>
    <row r="36" spans="1:3" ht="16.5">
      <c r="A36" s="33" t="s">
        <v>154</v>
      </c>
      <c r="B36" s="38" t="s">
        <v>157</v>
      </c>
      <c r="C36" s="32" t="str">
        <f t="shared" ref="C36:C57" si="1">CONCATENATE(A36, " -&gt; ",B36)</f>
        <v>Ancillary services/Support services -&gt; Pediatric ICU*</v>
      </c>
    </row>
    <row r="37" spans="1:3" ht="16.5">
      <c r="A37" s="33" t="s">
        <v>154</v>
      </c>
      <c r="B37" s="35" t="s">
        <v>156</v>
      </c>
      <c r="C37" s="32" t="str">
        <f t="shared" si="1"/>
        <v>Ancillary services/Support services -&gt; Burn Unit</v>
      </c>
    </row>
    <row r="38" spans="1:3" ht="16.5">
      <c r="A38" s="33" t="s">
        <v>154</v>
      </c>
      <c r="B38" s="35" t="s">
        <v>155</v>
      </c>
      <c r="C38" s="32" t="str">
        <f t="shared" si="1"/>
        <v>Ancillary services/Support services -&gt; Morgue</v>
      </c>
    </row>
    <row r="39" spans="1:3" ht="16.5">
      <c r="A39" s="33" t="s">
        <v>154</v>
      </c>
      <c r="B39" s="37" t="s">
        <v>153</v>
      </c>
      <c r="C39" s="32" t="str">
        <f t="shared" si="1"/>
        <v>Ancillary services/Support services -&gt; Others</v>
      </c>
    </row>
    <row r="40" spans="1:3" ht="16.5">
      <c r="A40" s="34" t="s">
        <v>135</v>
      </c>
      <c r="B40" s="36" t="s">
        <v>152</v>
      </c>
      <c r="C40" s="32" t="str">
        <f t="shared" si="1"/>
        <v>Clinical/Medical services -&gt; Outpatient Department (general)</v>
      </c>
    </row>
    <row r="41" spans="1:3" ht="16.5">
      <c r="A41" s="34" t="s">
        <v>135</v>
      </c>
      <c r="B41" s="33" t="s">
        <v>151</v>
      </c>
      <c r="C41" s="32" t="str">
        <f t="shared" si="1"/>
        <v>Clinical/Medical services -&gt; Animal Bite Center</v>
      </c>
    </row>
    <row r="42" spans="1:3" ht="16.5">
      <c r="A42" s="34" t="s">
        <v>135</v>
      </c>
      <c r="B42" s="33" t="s">
        <v>150</v>
      </c>
      <c r="C42" s="32" t="str">
        <f t="shared" si="1"/>
        <v>Clinical/Medical services -&gt; TB Dots</v>
      </c>
    </row>
    <row r="43" spans="1:3" ht="16.5">
      <c r="A43" s="34" t="s">
        <v>135</v>
      </c>
      <c r="B43" s="33" t="s">
        <v>149</v>
      </c>
      <c r="C43" s="32" t="str">
        <f t="shared" si="1"/>
        <v>Clinical/Medical services -&gt; HIV Aids</v>
      </c>
    </row>
    <row r="44" spans="1:3" ht="16.5">
      <c r="A44" s="34" t="s">
        <v>135</v>
      </c>
      <c r="B44" s="33" t="s">
        <v>148</v>
      </c>
      <c r="C44" s="32" t="str">
        <f t="shared" si="1"/>
        <v>Clinical/Medical services -&gt; Family Planning Unit</v>
      </c>
    </row>
    <row r="45" spans="1:3" ht="16.5">
      <c r="A45" s="34" t="s">
        <v>135</v>
      </c>
      <c r="B45" s="33" t="s">
        <v>147</v>
      </c>
      <c r="C45" s="32" t="str">
        <f t="shared" si="1"/>
        <v>Clinical/Medical services -&gt; Smoking Cessation</v>
      </c>
    </row>
    <row r="46" spans="1:3" ht="16.5">
      <c r="A46" s="34" t="s">
        <v>135</v>
      </c>
      <c r="B46" s="33" t="s">
        <v>146</v>
      </c>
      <c r="C46" s="32" t="str">
        <f t="shared" si="1"/>
        <v>Clinical/Medical services -&gt; Malaria</v>
      </c>
    </row>
    <row r="47" spans="1:3" ht="16.5">
      <c r="A47" s="34" t="s">
        <v>135</v>
      </c>
      <c r="B47" s="35" t="s">
        <v>145</v>
      </c>
      <c r="C47" s="32" t="str">
        <f t="shared" si="1"/>
        <v xml:space="preserve">Clinical/Medical services -&gt; Diabetes </v>
      </c>
    </row>
    <row r="48" spans="1:3" ht="16.5">
      <c r="A48" s="34" t="s">
        <v>135</v>
      </c>
      <c r="B48" s="33" t="s">
        <v>144</v>
      </c>
      <c r="C48" s="32" t="str">
        <f t="shared" si="1"/>
        <v>Clinical/Medical services -&gt; Hypertension</v>
      </c>
    </row>
    <row r="49" spans="1:3" ht="16.5">
      <c r="A49" s="34" t="s">
        <v>135</v>
      </c>
      <c r="B49" s="33" t="s">
        <v>143</v>
      </c>
      <c r="C49" s="32" t="str">
        <f t="shared" si="1"/>
        <v>Clinical/Medical services -&gt; Emergency Medicine Department</v>
      </c>
    </row>
    <row r="50" spans="1:3" ht="16.5">
      <c r="A50" s="34" t="s">
        <v>135</v>
      </c>
      <c r="B50" s="33" t="s">
        <v>142</v>
      </c>
      <c r="C50" s="32" t="str">
        <f t="shared" si="1"/>
        <v>Clinical/Medical services -&gt; Dialysis Unit</v>
      </c>
    </row>
    <row r="51" spans="1:3" ht="16.5">
      <c r="A51" s="34" t="s">
        <v>135</v>
      </c>
      <c r="B51" s="33" t="s">
        <v>141</v>
      </c>
      <c r="C51" s="32" t="str">
        <f t="shared" si="1"/>
        <v>Clinical/Medical services -&gt; Radiation Oncology Unit*</v>
      </c>
    </row>
    <row r="52" spans="1:3" ht="16.5">
      <c r="A52" s="34" t="s">
        <v>135</v>
      </c>
      <c r="B52" s="33" t="s">
        <v>140</v>
      </c>
      <c r="C52" s="32" t="str">
        <f t="shared" si="1"/>
        <v>Clinical/Medical services -&gt; Dental</v>
      </c>
    </row>
    <row r="53" spans="1:3" ht="16.5">
      <c r="A53" s="34" t="s">
        <v>135</v>
      </c>
      <c r="B53" s="33" t="s">
        <v>139</v>
      </c>
      <c r="C53" s="32" t="str">
        <f t="shared" si="1"/>
        <v>Clinical/Medical services -&gt; Internal Medicine Ward</v>
      </c>
    </row>
    <row r="54" spans="1:3" ht="16.5">
      <c r="A54" s="34" t="s">
        <v>135</v>
      </c>
      <c r="B54" s="33" t="s">
        <v>138</v>
      </c>
      <c r="C54" s="32" t="str">
        <f t="shared" si="1"/>
        <v>Clinical/Medical services -&gt; Pediatric Ward</v>
      </c>
    </row>
    <row r="55" spans="1:3" ht="16.5">
      <c r="A55" s="34" t="s">
        <v>135</v>
      </c>
      <c r="B55" s="33" t="s">
        <v>137</v>
      </c>
      <c r="C55" s="32" t="str">
        <f t="shared" si="1"/>
        <v>Clinical/Medical services -&gt; Surgical Ward</v>
      </c>
    </row>
    <row r="56" spans="1:3" ht="16.5">
      <c r="A56" s="34" t="s">
        <v>135</v>
      </c>
      <c r="B56" s="33" t="s">
        <v>136</v>
      </c>
      <c r="C56" s="32" t="str">
        <f t="shared" si="1"/>
        <v>Clinical/Medical services -&gt; Ob/Gyne Ward</v>
      </c>
    </row>
    <row r="57" spans="1:3" ht="16.5">
      <c r="A57" s="34" t="s">
        <v>135</v>
      </c>
      <c r="B57" s="33" t="s">
        <v>134</v>
      </c>
      <c r="C57" s="32" t="str">
        <f t="shared" si="1"/>
        <v>Clinical/Medical services -&gt; Private Ward</v>
      </c>
    </row>
    <row r="58" spans="1:3" ht="16.5">
      <c r="A58" s="31"/>
      <c r="B58" s="31"/>
    </row>
    <row r="59" spans="1:3" ht="16.5">
      <c r="A59" s="31"/>
      <c r="B59" s="31"/>
    </row>
    <row r="60" spans="1:3" ht="16.5">
      <c r="A60" s="31"/>
      <c r="B60" s="31"/>
    </row>
    <row r="61" spans="1:3" ht="16.5">
      <c r="A61" s="31"/>
      <c r="B61" s="31"/>
    </row>
    <row r="62" spans="1:3" ht="16.5">
      <c r="A62" s="31" t="s">
        <v>133</v>
      </c>
      <c r="B62" s="30" t="s">
        <v>132</v>
      </c>
    </row>
    <row r="63" spans="1:3" ht="16.5">
      <c r="A63" s="31"/>
      <c r="B63" s="30" t="s">
        <v>131</v>
      </c>
    </row>
    <row r="64" spans="1:3" ht="16.5">
      <c r="A64" s="29"/>
      <c r="B64" s="29"/>
    </row>
    <row r="65" spans="1:2" ht="16.5">
      <c r="A65" s="29"/>
      <c r="B65" s="29"/>
    </row>
    <row r="66" spans="1:2" ht="16.5">
      <c r="A66" s="29"/>
      <c r="B66" s="29"/>
    </row>
    <row r="67" spans="1:2" ht="16.5">
      <c r="A67" s="29"/>
      <c r="B67" s="29"/>
    </row>
    <row r="68" spans="1:2" ht="16.5">
      <c r="A68" s="29"/>
      <c r="B68" s="29"/>
    </row>
    <row r="69" spans="1:2" ht="16.5">
      <c r="A69" s="29"/>
      <c r="B69" s="29"/>
    </row>
    <row r="70" spans="1:2" ht="16.5">
      <c r="A70" s="29"/>
      <c r="B70" s="29"/>
    </row>
    <row r="71" spans="1:2" ht="16.5">
      <c r="A71" s="29"/>
      <c r="B71" s="29"/>
    </row>
    <row r="72" spans="1:2" ht="16.5">
      <c r="A72" s="29"/>
      <c r="B72" s="29"/>
    </row>
    <row r="73" spans="1:2" ht="16.5">
      <c r="A73" s="29"/>
      <c r="B73" s="29"/>
    </row>
    <row r="74" spans="1:2" ht="16.5">
      <c r="A74" s="29"/>
      <c r="B74" s="29"/>
    </row>
    <row r="75" spans="1:2" ht="16.5">
      <c r="A75" s="29"/>
      <c r="B75" s="29"/>
    </row>
    <row r="76" spans="1:2" ht="16.5">
      <c r="A76" s="29"/>
      <c r="B76" s="29"/>
    </row>
    <row r="77" spans="1:2" ht="16.5">
      <c r="A77" s="29"/>
      <c r="B77" s="29"/>
    </row>
    <row r="78" spans="1:2" ht="16.5">
      <c r="A78" s="29"/>
      <c r="B78" s="29"/>
    </row>
    <row r="79" spans="1:2" ht="16.5">
      <c r="A79" s="29"/>
      <c r="B79" s="29"/>
    </row>
    <row r="80" spans="1:2" ht="16.5">
      <c r="A80" s="29"/>
      <c r="B80" s="29"/>
    </row>
    <row r="81" spans="1:2" ht="16.5">
      <c r="A81" s="29"/>
      <c r="B81" s="29"/>
    </row>
    <row r="82" spans="1:2" ht="16.5">
      <c r="A82" s="29"/>
      <c r="B82" s="29"/>
    </row>
    <row r="83" spans="1:2" ht="16.5">
      <c r="A83" s="29"/>
      <c r="B83" s="29"/>
    </row>
    <row r="84" spans="1:2" ht="16.5">
      <c r="A84" s="29"/>
      <c r="B84" s="29"/>
    </row>
    <row r="85" spans="1:2" ht="16.5">
      <c r="A85" s="29"/>
      <c r="B85" s="29"/>
    </row>
    <row r="86" spans="1:2" ht="16.5">
      <c r="A86" s="29"/>
      <c r="B86" s="29"/>
    </row>
    <row r="87" spans="1:2" ht="16.5">
      <c r="A87" s="29"/>
      <c r="B87" s="29"/>
    </row>
    <row r="88" spans="1:2" ht="16.5">
      <c r="A88" s="29"/>
      <c r="B88" s="29"/>
    </row>
    <row r="89" spans="1:2" ht="16.5">
      <c r="A89" s="29"/>
      <c r="B89" s="29"/>
    </row>
    <row r="90" spans="1:2" ht="16.5">
      <c r="A90" s="29"/>
      <c r="B90" s="29"/>
    </row>
    <row r="91" spans="1:2" ht="16.5">
      <c r="A91" s="29"/>
      <c r="B91" s="29"/>
    </row>
    <row r="92" spans="1:2" ht="16.5">
      <c r="A92" s="29"/>
      <c r="B92" s="29"/>
    </row>
    <row r="93" spans="1:2" ht="16.5">
      <c r="A93" s="29"/>
      <c r="B93" s="29"/>
    </row>
    <row r="94" spans="1:2" ht="16.5">
      <c r="A94" s="29"/>
      <c r="B94" s="29"/>
    </row>
    <row r="95" spans="1:2" ht="16.5">
      <c r="A95" s="29"/>
      <c r="B95" s="29"/>
    </row>
    <row r="96" spans="1:2" ht="16.5">
      <c r="A96" s="29"/>
      <c r="B96" s="29"/>
    </row>
    <row r="97" spans="1:2" ht="16.5">
      <c r="A97" s="29"/>
      <c r="B97" s="29"/>
    </row>
    <row r="98" spans="1:2" ht="16.5">
      <c r="A98" s="29"/>
      <c r="B98" s="29"/>
    </row>
    <row r="99" spans="1:2" ht="16.5">
      <c r="A99" s="29"/>
      <c r="B99" s="29"/>
    </row>
    <row r="100" spans="1:2" ht="16.5">
      <c r="A100" s="29"/>
      <c r="B100" s="29"/>
    </row>
    <row r="101" spans="1:2" ht="16.5">
      <c r="A101" s="29"/>
      <c r="B101" s="29"/>
    </row>
    <row r="102" spans="1:2" ht="16.5">
      <c r="A102" s="29"/>
      <c r="B102" s="29"/>
    </row>
    <row r="103" spans="1:2" ht="16.5">
      <c r="A103" s="29"/>
      <c r="B103" s="29"/>
    </row>
    <row r="104" spans="1:2" ht="16.5">
      <c r="A104" s="29"/>
      <c r="B104" s="29"/>
    </row>
    <row r="105" spans="1:2" ht="16.5">
      <c r="A105" s="29"/>
      <c r="B105" s="29"/>
    </row>
    <row r="106" spans="1:2" ht="16.5">
      <c r="A106" s="29"/>
      <c r="B106" s="29"/>
    </row>
    <row r="107" spans="1:2" ht="16.5">
      <c r="A107" s="29"/>
      <c r="B107" s="29"/>
    </row>
    <row r="108" spans="1:2" ht="16.5">
      <c r="A108" s="29"/>
      <c r="B108" s="29"/>
    </row>
    <row r="109" spans="1:2" ht="16.5">
      <c r="A109" s="29"/>
      <c r="B109" s="29"/>
    </row>
    <row r="110" spans="1:2" ht="16.5">
      <c r="A110" s="29"/>
      <c r="B110" s="29"/>
    </row>
    <row r="111" spans="1:2" ht="16.5">
      <c r="A111" s="29"/>
      <c r="B111" s="29"/>
    </row>
    <row r="112" spans="1:2" ht="16.5">
      <c r="A112" s="29"/>
      <c r="B112" s="29"/>
    </row>
    <row r="113" spans="1:2" ht="16.5">
      <c r="A113" s="29"/>
      <c r="B113" s="29"/>
    </row>
    <row r="114" spans="1:2" ht="16.5">
      <c r="A114" s="29"/>
      <c r="B114" s="29"/>
    </row>
    <row r="115" spans="1:2" ht="16.5">
      <c r="A115" s="29"/>
      <c r="B115" s="29"/>
    </row>
    <row r="116" spans="1:2" ht="16.5">
      <c r="A116" s="29"/>
      <c r="B116" s="29"/>
    </row>
    <row r="117" spans="1:2" ht="16.5">
      <c r="A117" s="29"/>
      <c r="B117" s="29"/>
    </row>
    <row r="118" spans="1:2" ht="16.5">
      <c r="A118" s="29"/>
      <c r="B118" s="29"/>
    </row>
    <row r="119" spans="1:2" ht="16.5">
      <c r="A119" s="29"/>
      <c r="B119" s="29"/>
    </row>
    <row r="120" spans="1:2" ht="16.5">
      <c r="A120" s="29"/>
      <c r="B120" s="29"/>
    </row>
    <row r="121" spans="1:2" ht="16.5">
      <c r="A121" s="29"/>
      <c r="B121" s="29"/>
    </row>
    <row r="122" spans="1:2" ht="16.5">
      <c r="A122" s="29"/>
      <c r="B122" s="29"/>
    </row>
    <row r="123" spans="1:2" ht="16.5">
      <c r="A123" s="29"/>
      <c r="B123" s="29"/>
    </row>
    <row r="124" spans="1:2" ht="16.5">
      <c r="A124" s="29"/>
      <c r="B124" s="29"/>
    </row>
    <row r="125" spans="1:2" ht="16.5">
      <c r="A125" s="29"/>
      <c r="B125" s="29"/>
    </row>
    <row r="126" spans="1:2" ht="16.5">
      <c r="A126" s="29"/>
      <c r="B126" s="29"/>
    </row>
    <row r="127" spans="1:2" ht="16.5">
      <c r="A127" s="29"/>
      <c r="B127" s="29"/>
    </row>
    <row r="128" spans="1:2" ht="16.5">
      <c r="A128" s="29"/>
      <c r="B128" s="29"/>
    </row>
    <row r="129" spans="1:2" ht="16.5">
      <c r="A129" s="29"/>
      <c r="B129" s="29"/>
    </row>
    <row r="130" spans="1:2" ht="16.5">
      <c r="A130" s="29"/>
      <c r="B130" s="29"/>
    </row>
    <row r="131" spans="1:2" ht="16.5">
      <c r="A131" s="29"/>
      <c r="B131" s="29"/>
    </row>
    <row r="132" spans="1:2" ht="16.5">
      <c r="A132" s="29"/>
      <c r="B132" s="29"/>
    </row>
    <row r="133" spans="1:2" ht="16.5">
      <c r="A133" s="29"/>
      <c r="B133" s="29"/>
    </row>
    <row r="134" spans="1:2" ht="16.5">
      <c r="A134" s="29"/>
      <c r="B134" s="29"/>
    </row>
    <row r="135" spans="1:2" ht="16.5">
      <c r="A135" s="29"/>
      <c r="B135" s="29"/>
    </row>
    <row r="136" spans="1:2" ht="16.5">
      <c r="A136" s="29"/>
      <c r="B136" s="29"/>
    </row>
    <row r="137" spans="1:2" ht="16.5">
      <c r="A137" s="29"/>
      <c r="B137" s="29"/>
    </row>
    <row r="138" spans="1:2" ht="16.5">
      <c r="A138" s="29"/>
      <c r="B138" s="29"/>
    </row>
    <row r="139" spans="1:2" ht="16.5">
      <c r="A139" s="29"/>
      <c r="B139" s="29"/>
    </row>
    <row r="140" spans="1:2" ht="16.5">
      <c r="A140" s="29"/>
      <c r="B140" s="29"/>
    </row>
    <row r="141" spans="1:2" ht="16.5">
      <c r="A141" s="29"/>
      <c r="B141" s="29"/>
    </row>
    <row r="142" spans="1:2" ht="16.5">
      <c r="A142" s="29"/>
      <c r="B142" s="29"/>
    </row>
    <row r="143" spans="1:2" ht="16.5">
      <c r="A143" s="29"/>
      <c r="B143" s="29"/>
    </row>
    <row r="144" spans="1:2" ht="16.5">
      <c r="A144" s="29"/>
      <c r="B144" s="29"/>
    </row>
    <row r="145" spans="1:2" ht="16.5">
      <c r="A145" s="29"/>
      <c r="B145" s="29"/>
    </row>
    <row r="146" spans="1:2" ht="16.5">
      <c r="A146" s="29"/>
      <c r="B146" s="29"/>
    </row>
    <row r="147" spans="1:2" ht="16.5">
      <c r="A147" s="29"/>
      <c r="B147" s="29"/>
    </row>
    <row r="148" spans="1:2" ht="16.5">
      <c r="A148" s="29"/>
      <c r="B148" s="29"/>
    </row>
    <row r="149" spans="1:2" ht="16.5">
      <c r="A149" s="29"/>
      <c r="B149" s="29"/>
    </row>
    <row r="150" spans="1:2" ht="16.5">
      <c r="A150" s="29"/>
      <c r="B150" s="29"/>
    </row>
    <row r="151" spans="1:2" ht="16.5">
      <c r="A151" s="29"/>
      <c r="B151" s="29"/>
    </row>
    <row r="152" spans="1:2" ht="16.5">
      <c r="A152" s="29"/>
      <c r="B152" s="29"/>
    </row>
    <row r="153" spans="1:2" ht="16.5">
      <c r="A153" s="29"/>
      <c r="B153" s="29"/>
    </row>
    <row r="154" spans="1:2" ht="16.5">
      <c r="A154" s="29"/>
      <c r="B154" s="29"/>
    </row>
    <row r="155" spans="1:2" ht="16.5">
      <c r="A155" s="29"/>
      <c r="B155" s="29"/>
    </row>
    <row r="156" spans="1:2" ht="16.5">
      <c r="A156" s="29"/>
      <c r="B156" s="29"/>
    </row>
    <row r="157" spans="1:2" ht="16.5">
      <c r="A157" s="29"/>
      <c r="B157" s="29"/>
    </row>
    <row r="158" spans="1:2" ht="16.5">
      <c r="A158" s="29"/>
      <c r="B158" s="29"/>
    </row>
    <row r="159" spans="1:2" ht="16.5">
      <c r="A159" s="29"/>
      <c r="B159" s="29"/>
    </row>
    <row r="160" spans="1:2" ht="16.5">
      <c r="A160" s="29"/>
      <c r="B160" s="29"/>
    </row>
    <row r="161" spans="1:2" ht="16.5">
      <c r="A161" s="29"/>
      <c r="B161" s="29"/>
    </row>
    <row r="162" spans="1:2" ht="16.5">
      <c r="A162" s="29"/>
      <c r="B162" s="29"/>
    </row>
    <row r="163" spans="1:2" ht="16.5">
      <c r="A163" s="29"/>
      <c r="B163" s="29"/>
    </row>
    <row r="164" spans="1:2" ht="16.5">
      <c r="A164" s="29"/>
      <c r="B164" s="29"/>
    </row>
    <row r="165" spans="1:2" ht="16.5">
      <c r="A165" s="29"/>
      <c r="B165" s="29"/>
    </row>
    <row r="166" spans="1:2" ht="16.5">
      <c r="A166" s="29"/>
      <c r="B166" s="29"/>
    </row>
    <row r="167" spans="1:2" ht="16.5">
      <c r="A167" s="29"/>
      <c r="B167" s="29"/>
    </row>
    <row r="168" spans="1:2" ht="16.5">
      <c r="A168" s="29"/>
      <c r="B168" s="29"/>
    </row>
    <row r="169" spans="1:2" ht="16.5">
      <c r="A169" s="29"/>
      <c r="B169" s="29"/>
    </row>
    <row r="170" spans="1:2" ht="16.5">
      <c r="A170" s="29"/>
      <c r="B170" s="29"/>
    </row>
    <row r="171" spans="1:2" ht="16.5">
      <c r="A171" s="29"/>
      <c r="B171" s="29"/>
    </row>
    <row r="172" spans="1:2" ht="16.5">
      <c r="A172" s="29"/>
      <c r="B172" s="29"/>
    </row>
    <row r="173" spans="1:2" ht="16.5">
      <c r="A173" s="29"/>
      <c r="B173" s="29"/>
    </row>
    <row r="174" spans="1:2" ht="16.5">
      <c r="A174" s="29"/>
      <c r="B174" s="29"/>
    </row>
    <row r="175" spans="1:2" ht="16.5">
      <c r="A175" s="29"/>
      <c r="B175" s="29"/>
    </row>
    <row r="176" spans="1:2" ht="16.5">
      <c r="A176" s="29"/>
      <c r="B176" s="29"/>
    </row>
    <row r="177" spans="1:2" ht="16.5">
      <c r="A177" s="29"/>
      <c r="B177" s="29"/>
    </row>
    <row r="178" spans="1:2" ht="16.5">
      <c r="A178" s="29"/>
      <c r="B178" s="29"/>
    </row>
    <row r="179" spans="1:2" ht="16.5">
      <c r="A179" s="29"/>
      <c r="B179" s="29"/>
    </row>
    <row r="180" spans="1:2" ht="16.5">
      <c r="A180" s="29"/>
      <c r="B180" s="29"/>
    </row>
    <row r="181" spans="1:2" ht="16.5">
      <c r="A181" s="29"/>
      <c r="B181" s="29"/>
    </row>
    <row r="182" spans="1:2" ht="16.5">
      <c r="A182" s="29"/>
      <c r="B182" s="29"/>
    </row>
    <row r="183" spans="1:2" ht="16.5">
      <c r="A183" s="29"/>
      <c r="B183" s="29"/>
    </row>
    <row r="184" spans="1:2" ht="16.5">
      <c r="A184" s="29"/>
      <c r="B184" s="29"/>
    </row>
    <row r="185" spans="1:2" ht="16.5">
      <c r="A185" s="29"/>
      <c r="B185" s="29"/>
    </row>
    <row r="186" spans="1:2" ht="16.5">
      <c r="A186" s="29"/>
      <c r="B186" s="29"/>
    </row>
    <row r="187" spans="1:2" ht="16.5">
      <c r="A187" s="29"/>
      <c r="B187" s="29"/>
    </row>
    <row r="188" spans="1:2" ht="16.5">
      <c r="A188" s="29"/>
      <c r="B188" s="29"/>
    </row>
    <row r="189" spans="1:2" ht="16.5">
      <c r="A189" s="29"/>
      <c r="B189" s="29"/>
    </row>
    <row r="190" spans="1:2" ht="16.5">
      <c r="A190" s="29"/>
      <c r="B190" s="29"/>
    </row>
    <row r="191" spans="1:2" ht="16.5">
      <c r="A191" s="29"/>
      <c r="B191" s="29"/>
    </row>
    <row r="192" spans="1:2" ht="16.5">
      <c r="A192" s="29"/>
      <c r="B192" s="29"/>
    </row>
    <row r="193" spans="1:2" ht="16.5">
      <c r="A193" s="29"/>
      <c r="B193" s="29"/>
    </row>
    <row r="194" spans="1:2" ht="16.5">
      <c r="A194" s="29"/>
      <c r="B194" s="29"/>
    </row>
    <row r="195" spans="1:2" ht="16.5">
      <c r="A195" s="29"/>
      <c r="B195" s="29"/>
    </row>
    <row r="196" spans="1:2" ht="16.5">
      <c r="A196" s="29"/>
      <c r="B196" s="29"/>
    </row>
    <row r="197" spans="1:2" ht="16.5">
      <c r="A197" s="29"/>
      <c r="B197" s="29"/>
    </row>
    <row r="198" spans="1:2" ht="16.5">
      <c r="A198" s="29"/>
      <c r="B198" s="29"/>
    </row>
    <row r="199" spans="1:2" ht="16.5">
      <c r="A199" s="29"/>
      <c r="B199" s="29"/>
    </row>
    <row r="200" spans="1:2" ht="16.5">
      <c r="A200" s="29"/>
      <c r="B200" s="29"/>
    </row>
    <row r="201" spans="1:2" ht="16.5">
      <c r="A201" s="29"/>
      <c r="B201" s="29"/>
    </row>
    <row r="202" spans="1:2" ht="16.5">
      <c r="A202" s="29"/>
      <c r="B202" s="29"/>
    </row>
    <row r="203" spans="1:2" ht="16.5">
      <c r="A203" s="29"/>
      <c r="B203" s="29"/>
    </row>
    <row r="204" spans="1:2" ht="16.5">
      <c r="A204" s="29"/>
      <c r="B204" s="29"/>
    </row>
    <row r="205" spans="1:2" ht="16.5">
      <c r="A205" s="29"/>
      <c r="B205" s="29"/>
    </row>
    <row r="206" spans="1:2" ht="16.5">
      <c r="A206" s="29"/>
      <c r="B206" s="29"/>
    </row>
    <row r="207" spans="1:2" ht="16.5">
      <c r="A207" s="29"/>
      <c r="B207" s="29"/>
    </row>
    <row r="208" spans="1:2" ht="16.5">
      <c r="A208" s="29"/>
      <c r="B208" s="29"/>
    </row>
    <row r="209" spans="1:2" ht="16.5">
      <c r="A209" s="29"/>
      <c r="B209" s="29"/>
    </row>
    <row r="210" spans="1:2" ht="16.5">
      <c r="A210" s="29"/>
      <c r="B210" s="29"/>
    </row>
    <row r="211" spans="1:2" ht="16.5">
      <c r="A211" s="29"/>
      <c r="B211" s="29"/>
    </row>
    <row r="212" spans="1:2" ht="16.5">
      <c r="A212" s="29"/>
      <c r="B212" s="29"/>
    </row>
    <row r="213" spans="1:2" ht="16.5">
      <c r="A213" s="29"/>
      <c r="B213" s="29"/>
    </row>
    <row r="214" spans="1:2" ht="16.5">
      <c r="A214" s="29"/>
      <c r="B214" s="29"/>
    </row>
    <row r="215" spans="1:2" ht="16.5">
      <c r="A215" s="29"/>
      <c r="B215" s="29"/>
    </row>
    <row r="216" spans="1:2" ht="16.5">
      <c r="A216" s="29"/>
      <c r="B216" s="29"/>
    </row>
    <row r="217" spans="1:2" ht="16.5">
      <c r="A217" s="29"/>
      <c r="B217" s="29"/>
    </row>
    <row r="218" spans="1:2" ht="16.5">
      <c r="A218" s="29"/>
      <c r="B218" s="29"/>
    </row>
    <row r="219" spans="1:2" ht="16.5">
      <c r="A219" s="29"/>
      <c r="B219" s="29"/>
    </row>
    <row r="220" spans="1:2" ht="16.5">
      <c r="A220" s="29"/>
      <c r="B220" s="29"/>
    </row>
    <row r="221" spans="1:2" ht="16.5">
      <c r="A221" s="29"/>
      <c r="B221" s="29"/>
    </row>
    <row r="222" spans="1:2" ht="16.5">
      <c r="A222" s="29"/>
      <c r="B222" s="29"/>
    </row>
    <row r="223" spans="1:2" ht="16.5">
      <c r="A223" s="29"/>
      <c r="B223" s="29"/>
    </row>
    <row r="224" spans="1:2" ht="16.5">
      <c r="A224" s="29"/>
      <c r="B224" s="29"/>
    </row>
    <row r="225" spans="1:2" ht="16.5">
      <c r="A225" s="29"/>
      <c r="B225" s="29"/>
    </row>
    <row r="226" spans="1:2" ht="16.5">
      <c r="A226" s="29"/>
      <c r="B226" s="29"/>
    </row>
    <row r="227" spans="1:2" ht="16.5">
      <c r="A227" s="29"/>
      <c r="B227" s="29"/>
    </row>
    <row r="228" spans="1:2" ht="16.5">
      <c r="A228" s="29"/>
      <c r="B228" s="29"/>
    </row>
    <row r="229" spans="1:2" ht="16.5">
      <c r="A229" s="29"/>
      <c r="B229" s="29"/>
    </row>
    <row r="230" spans="1:2" ht="16.5">
      <c r="A230" s="29"/>
      <c r="B230" s="29"/>
    </row>
    <row r="231" spans="1:2" ht="16.5">
      <c r="A231" s="29"/>
      <c r="B231" s="29"/>
    </row>
    <row r="232" spans="1:2" ht="16.5">
      <c r="A232" s="29"/>
      <c r="B232" s="29"/>
    </row>
    <row r="233" spans="1:2" ht="16.5">
      <c r="A233" s="29"/>
      <c r="B233" s="29"/>
    </row>
    <row r="234" spans="1:2" ht="16.5">
      <c r="A234" s="29"/>
      <c r="B234" s="29"/>
    </row>
    <row r="235" spans="1:2" ht="16.5">
      <c r="A235" s="29"/>
      <c r="B235" s="29"/>
    </row>
    <row r="236" spans="1:2" ht="16.5">
      <c r="A236" s="29"/>
      <c r="B236" s="29"/>
    </row>
    <row r="237" spans="1:2" ht="16.5">
      <c r="A237" s="29"/>
      <c r="B237" s="29"/>
    </row>
    <row r="238" spans="1:2" ht="16.5">
      <c r="A238" s="29"/>
      <c r="B238" s="29"/>
    </row>
    <row r="239" spans="1:2" ht="16.5">
      <c r="A239" s="29"/>
      <c r="B239" s="29"/>
    </row>
    <row r="240" spans="1:2" ht="16.5">
      <c r="A240" s="29"/>
      <c r="B240" s="29"/>
    </row>
    <row r="241" spans="1:2" ht="16.5">
      <c r="A241" s="29"/>
      <c r="B241" s="29"/>
    </row>
    <row r="242" spans="1:2" ht="16.5">
      <c r="A242" s="29"/>
      <c r="B242" s="29"/>
    </row>
    <row r="243" spans="1:2" ht="16.5">
      <c r="A243" s="29"/>
      <c r="B243" s="29"/>
    </row>
    <row r="244" spans="1:2" ht="16.5">
      <c r="A244" s="29"/>
      <c r="B244" s="29"/>
    </row>
    <row r="245" spans="1:2" ht="16.5">
      <c r="A245" s="29"/>
      <c r="B245" s="29"/>
    </row>
    <row r="246" spans="1:2" ht="16.5">
      <c r="A246" s="29"/>
      <c r="B246" s="29"/>
    </row>
    <row r="247" spans="1:2" ht="16.5">
      <c r="A247" s="29"/>
      <c r="B247" s="29"/>
    </row>
    <row r="248" spans="1:2" ht="16.5">
      <c r="A248" s="29"/>
      <c r="B248" s="29"/>
    </row>
    <row r="249" spans="1:2" ht="16.5">
      <c r="A249" s="29"/>
      <c r="B249" s="29"/>
    </row>
    <row r="250" spans="1:2" ht="16.5">
      <c r="A250" s="29"/>
      <c r="B250" s="29"/>
    </row>
    <row r="251" spans="1:2" ht="16.5">
      <c r="A251" s="29"/>
      <c r="B251" s="29"/>
    </row>
    <row r="252" spans="1:2" ht="16.5">
      <c r="A252" s="29"/>
      <c r="B252" s="29"/>
    </row>
    <row r="253" spans="1:2" ht="16.5">
      <c r="A253" s="29"/>
      <c r="B253" s="29"/>
    </row>
    <row r="254" spans="1:2" ht="16.5">
      <c r="A254" s="29"/>
      <c r="B254" s="29"/>
    </row>
    <row r="255" spans="1:2" ht="16.5">
      <c r="A255" s="29"/>
      <c r="B255" s="29"/>
    </row>
    <row r="256" spans="1:2" ht="16.5">
      <c r="A256" s="29"/>
      <c r="B256" s="29"/>
    </row>
    <row r="257" spans="1:2" ht="16.5">
      <c r="A257" s="29"/>
      <c r="B257" s="29"/>
    </row>
    <row r="258" spans="1:2" ht="16.5">
      <c r="A258" s="29"/>
      <c r="B258" s="29"/>
    </row>
    <row r="259" spans="1:2" ht="16.5">
      <c r="A259" s="29"/>
      <c r="B259" s="29"/>
    </row>
    <row r="260" spans="1:2" ht="16.5">
      <c r="A260" s="29"/>
      <c r="B260" s="29"/>
    </row>
    <row r="261" spans="1:2" ht="16.5">
      <c r="A261" s="29"/>
      <c r="B261" s="29"/>
    </row>
    <row r="262" spans="1:2" ht="16.5">
      <c r="A262" s="29"/>
      <c r="B262" s="29"/>
    </row>
    <row r="263" spans="1:2" ht="16.5">
      <c r="A263" s="29"/>
      <c r="B263" s="29"/>
    </row>
    <row r="264" spans="1:2" ht="16.5">
      <c r="A264" s="29"/>
      <c r="B264" s="29"/>
    </row>
    <row r="265" spans="1:2" ht="16.5">
      <c r="A265" s="29"/>
      <c r="B265" s="29"/>
    </row>
    <row r="266" spans="1:2" ht="16.5">
      <c r="A266" s="29"/>
      <c r="B266" s="29"/>
    </row>
    <row r="267" spans="1:2" ht="16.5">
      <c r="A267" s="29"/>
      <c r="B267" s="29"/>
    </row>
    <row r="268" spans="1:2" ht="16.5">
      <c r="A268" s="29"/>
      <c r="B268" s="29"/>
    </row>
    <row r="269" spans="1:2" ht="16.5">
      <c r="A269" s="29"/>
      <c r="B269" s="29"/>
    </row>
    <row r="270" spans="1:2" ht="16.5">
      <c r="A270" s="29"/>
      <c r="B270" s="29"/>
    </row>
    <row r="271" spans="1:2" ht="16.5">
      <c r="A271" s="29"/>
      <c r="B271" s="29"/>
    </row>
    <row r="272" spans="1:2" ht="16.5">
      <c r="A272" s="29"/>
      <c r="B272" s="29"/>
    </row>
    <row r="273" spans="1:2" ht="16.5">
      <c r="A273" s="29"/>
      <c r="B273" s="29"/>
    </row>
    <row r="274" spans="1:2" ht="16.5">
      <c r="A274" s="29"/>
      <c r="B274" s="29"/>
    </row>
    <row r="275" spans="1:2" ht="16.5">
      <c r="A275" s="29"/>
      <c r="B275" s="29"/>
    </row>
    <row r="276" spans="1:2" ht="16.5">
      <c r="A276" s="29"/>
      <c r="B276" s="29"/>
    </row>
    <row r="277" spans="1:2" ht="16.5">
      <c r="A277" s="29"/>
      <c r="B277" s="29"/>
    </row>
    <row r="278" spans="1:2" ht="16.5">
      <c r="A278" s="29"/>
      <c r="B278" s="29"/>
    </row>
    <row r="279" spans="1:2" ht="16.5">
      <c r="A279" s="29"/>
      <c r="B279" s="29"/>
    </row>
    <row r="280" spans="1:2" ht="16.5">
      <c r="A280" s="29"/>
      <c r="B280" s="29"/>
    </row>
    <row r="281" spans="1:2" ht="16.5">
      <c r="A281" s="29"/>
      <c r="B281" s="29"/>
    </row>
    <row r="282" spans="1:2" ht="16.5">
      <c r="A282" s="29"/>
      <c r="B282" s="29"/>
    </row>
    <row r="283" spans="1:2" ht="16.5">
      <c r="A283" s="29"/>
      <c r="B283" s="29"/>
    </row>
    <row r="284" spans="1:2" ht="16.5">
      <c r="A284" s="29"/>
      <c r="B284" s="29"/>
    </row>
    <row r="285" spans="1:2" ht="16.5">
      <c r="A285" s="29"/>
      <c r="B285" s="29"/>
    </row>
    <row r="286" spans="1:2" ht="16.5">
      <c r="A286" s="29"/>
      <c r="B286" s="29"/>
    </row>
    <row r="287" spans="1:2" ht="16.5">
      <c r="A287" s="29"/>
      <c r="B287" s="29"/>
    </row>
    <row r="288" spans="1:2" ht="16.5">
      <c r="A288" s="29"/>
      <c r="B288" s="29"/>
    </row>
    <row r="289" spans="1:2" ht="16.5">
      <c r="A289" s="29"/>
      <c r="B289" s="29"/>
    </row>
    <row r="290" spans="1:2" ht="16.5">
      <c r="A290" s="29"/>
      <c r="B290" s="29"/>
    </row>
    <row r="291" spans="1:2" ht="16.5">
      <c r="A291" s="29"/>
      <c r="B291" s="29"/>
    </row>
    <row r="292" spans="1:2" ht="16.5">
      <c r="A292" s="29"/>
      <c r="B292" s="29"/>
    </row>
    <row r="293" spans="1:2" ht="16.5">
      <c r="A293" s="29"/>
      <c r="B293" s="29"/>
    </row>
    <row r="294" spans="1:2" ht="16.5">
      <c r="A294" s="29"/>
      <c r="B294" s="29"/>
    </row>
    <row r="295" spans="1:2" ht="16.5">
      <c r="A295" s="29"/>
      <c r="B295" s="29"/>
    </row>
    <row r="296" spans="1:2" ht="16.5">
      <c r="A296" s="29"/>
      <c r="B296" s="29"/>
    </row>
    <row r="297" spans="1:2" ht="16.5">
      <c r="A297" s="29"/>
      <c r="B297" s="29"/>
    </row>
    <row r="298" spans="1:2" ht="16.5">
      <c r="A298" s="29"/>
      <c r="B298" s="29"/>
    </row>
    <row r="299" spans="1:2" ht="16.5">
      <c r="A299" s="29"/>
      <c r="B299" s="29"/>
    </row>
    <row r="300" spans="1:2" ht="16.5">
      <c r="A300" s="29"/>
      <c r="B300" s="29"/>
    </row>
    <row r="301" spans="1:2" ht="16.5">
      <c r="A301" s="29"/>
      <c r="B301" s="29"/>
    </row>
    <row r="302" spans="1:2" ht="16.5">
      <c r="A302" s="29"/>
      <c r="B302" s="29"/>
    </row>
    <row r="303" spans="1:2" ht="16.5">
      <c r="A303" s="29"/>
      <c r="B303" s="29"/>
    </row>
    <row r="304" spans="1:2" ht="16.5">
      <c r="A304" s="29"/>
      <c r="B304" s="29"/>
    </row>
    <row r="305" spans="1:2" ht="16.5">
      <c r="A305" s="29"/>
      <c r="B305" s="29"/>
    </row>
    <row r="306" spans="1:2" ht="16.5">
      <c r="A306" s="29"/>
      <c r="B306" s="29"/>
    </row>
    <row r="307" spans="1:2" ht="16.5">
      <c r="A307" s="29"/>
      <c r="B307" s="29"/>
    </row>
    <row r="308" spans="1:2" ht="16.5">
      <c r="A308" s="29"/>
      <c r="B308" s="29"/>
    </row>
    <row r="309" spans="1:2" ht="16.5">
      <c r="A309" s="29"/>
      <c r="B309" s="29"/>
    </row>
    <row r="310" spans="1:2" ht="16.5">
      <c r="A310" s="29"/>
      <c r="B310" s="29"/>
    </row>
    <row r="311" spans="1:2" ht="16.5">
      <c r="A311" s="29"/>
      <c r="B311" s="29"/>
    </row>
    <row r="312" spans="1:2" ht="16.5">
      <c r="A312" s="29"/>
      <c r="B312" s="29"/>
    </row>
    <row r="313" spans="1:2" ht="16.5">
      <c r="A313" s="29"/>
      <c r="B313" s="29"/>
    </row>
    <row r="314" spans="1:2" ht="16.5">
      <c r="A314" s="29"/>
      <c r="B314" s="29"/>
    </row>
    <row r="315" spans="1:2" ht="16.5">
      <c r="A315" s="29"/>
      <c r="B315" s="29"/>
    </row>
    <row r="316" spans="1:2" ht="16.5">
      <c r="A316" s="29"/>
      <c r="B316" s="29"/>
    </row>
    <row r="317" spans="1:2" ht="16.5">
      <c r="A317" s="29"/>
      <c r="B317" s="29"/>
    </row>
    <row r="318" spans="1:2" ht="16.5">
      <c r="A318" s="29"/>
      <c r="B318" s="29"/>
    </row>
    <row r="319" spans="1:2" ht="16.5">
      <c r="A319" s="29"/>
      <c r="B319" s="29"/>
    </row>
    <row r="320" spans="1:2" ht="16.5">
      <c r="A320" s="29"/>
      <c r="B320" s="29"/>
    </row>
    <row r="321" spans="1:2" ht="16.5">
      <c r="A321" s="29"/>
      <c r="B321" s="29"/>
    </row>
    <row r="322" spans="1:2" ht="16.5">
      <c r="A322" s="29"/>
      <c r="B322" s="29"/>
    </row>
    <row r="323" spans="1:2" ht="16.5">
      <c r="A323" s="29"/>
      <c r="B323" s="29"/>
    </row>
    <row r="324" spans="1:2" ht="16.5">
      <c r="A324" s="29"/>
      <c r="B324" s="29"/>
    </row>
    <row r="325" spans="1:2" ht="16.5">
      <c r="A325" s="29"/>
      <c r="B325" s="29"/>
    </row>
    <row r="326" spans="1:2" ht="16.5">
      <c r="A326" s="29"/>
      <c r="B326" s="29"/>
    </row>
    <row r="327" spans="1:2" ht="16.5">
      <c r="A327" s="29"/>
      <c r="B327" s="29"/>
    </row>
    <row r="328" spans="1:2" ht="16.5">
      <c r="A328" s="29"/>
      <c r="B328" s="29"/>
    </row>
    <row r="329" spans="1:2" ht="16.5">
      <c r="A329" s="29"/>
      <c r="B329" s="29"/>
    </row>
    <row r="330" spans="1:2" ht="16.5">
      <c r="A330" s="29"/>
      <c r="B330" s="29"/>
    </row>
    <row r="331" spans="1:2" ht="16.5">
      <c r="A331" s="29"/>
      <c r="B331" s="29"/>
    </row>
    <row r="332" spans="1:2" ht="16.5">
      <c r="A332" s="29"/>
      <c r="B332" s="29"/>
    </row>
    <row r="333" spans="1:2" ht="16.5">
      <c r="A333" s="29"/>
      <c r="B333" s="29"/>
    </row>
    <row r="334" spans="1:2" ht="16.5">
      <c r="A334" s="29"/>
      <c r="B334" s="29"/>
    </row>
    <row r="335" spans="1:2" ht="16.5">
      <c r="A335" s="29"/>
      <c r="B335" s="29"/>
    </row>
    <row r="336" spans="1:2" ht="16.5">
      <c r="A336" s="29"/>
      <c r="B336" s="29"/>
    </row>
    <row r="337" spans="1:2" ht="16.5">
      <c r="A337" s="29"/>
      <c r="B337" s="29"/>
    </row>
    <row r="338" spans="1:2" ht="16.5">
      <c r="A338" s="29"/>
      <c r="B338" s="29"/>
    </row>
    <row r="339" spans="1:2" ht="16.5">
      <c r="A339" s="29"/>
      <c r="B339" s="29"/>
    </row>
    <row r="340" spans="1:2" ht="16.5">
      <c r="A340" s="29"/>
      <c r="B340" s="29"/>
    </row>
    <row r="341" spans="1:2" ht="16.5">
      <c r="A341" s="29"/>
      <c r="B341" s="29"/>
    </row>
    <row r="342" spans="1:2" ht="16.5">
      <c r="A342" s="29"/>
      <c r="B342" s="29"/>
    </row>
    <row r="343" spans="1:2" ht="16.5">
      <c r="A343" s="29"/>
      <c r="B343" s="29"/>
    </row>
    <row r="344" spans="1:2" ht="16.5">
      <c r="A344" s="29"/>
      <c r="B344" s="29"/>
    </row>
    <row r="345" spans="1:2" ht="16.5">
      <c r="A345" s="29"/>
      <c r="B345" s="29"/>
    </row>
    <row r="346" spans="1:2" ht="16.5">
      <c r="A346" s="29"/>
      <c r="B346" s="29"/>
    </row>
    <row r="347" spans="1:2" ht="16.5">
      <c r="A347" s="29"/>
      <c r="B347" s="29"/>
    </row>
    <row r="348" spans="1:2" ht="16.5">
      <c r="A348" s="29"/>
      <c r="B348" s="29"/>
    </row>
    <row r="349" spans="1:2" ht="16.5">
      <c r="A349" s="29"/>
      <c r="B349" s="29"/>
    </row>
    <row r="350" spans="1:2" ht="16.5">
      <c r="A350" s="29"/>
      <c r="B350" s="29"/>
    </row>
    <row r="351" spans="1:2" ht="16.5">
      <c r="A351" s="29"/>
      <c r="B351" s="29"/>
    </row>
    <row r="352" spans="1:2" ht="16.5">
      <c r="A352" s="29"/>
      <c r="B352" s="29"/>
    </row>
    <row r="353" spans="1:2" ht="16.5">
      <c r="A353" s="29"/>
      <c r="B353" s="29"/>
    </row>
    <row r="354" spans="1:2" ht="16.5">
      <c r="A354" s="29"/>
      <c r="B354" s="29"/>
    </row>
    <row r="355" spans="1:2" ht="16.5">
      <c r="A355" s="29"/>
      <c r="B355" s="29"/>
    </row>
    <row r="356" spans="1:2" ht="16.5">
      <c r="A356" s="29"/>
      <c r="B356" s="29"/>
    </row>
    <row r="357" spans="1:2" ht="16.5">
      <c r="A357" s="29"/>
      <c r="B357" s="29"/>
    </row>
    <row r="358" spans="1:2" ht="16.5">
      <c r="A358" s="29"/>
      <c r="B358" s="29"/>
    </row>
    <row r="359" spans="1:2" ht="16.5">
      <c r="A359" s="29"/>
      <c r="B359" s="29"/>
    </row>
    <row r="360" spans="1:2" ht="16.5">
      <c r="A360" s="29"/>
      <c r="B360" s="29"/>
    </row>
    <row r="361" spans="1:2" ht="16.5">
      <c r="A361" s="29"/>
      <c r="B361" s="29"/>
    </row>
    <row r="362" spans="1:2" ht="16.5">
      <c r="A362" s="29"/>
      <c r="B362" s="29"/>
    </row>
    <row r="363" spans="1:2" ht="16.5">
      <c r="A363" s="29"/>
      <c r="B363" s="29"/>
    </row>
    <row r="364" spans="1:2" ht="16.5">
      <c r="A364" s="29"/>
      <c r="B364" s="29"/>
    </row>
    <row r="365" spans="1:2" ht="16.5">
      <c r="A365" s="29"/>
      <c r="B365" s="29"/>
    </row>
    <row r="366" spans="1:2" ht="16.5">
      <c r="A366" s="29"/>
      <c r="B366" s="29"/>
    </row>
    <row r="367" spans="1:2" ht="16.5">
      <c r="A367" s="29"/>
      <c r="B367" s="29"/>
    </row>
    <row r="368" spans="1:2" ht="16.5">
      <c r="A368" s="29"/>
      <c r="B368" s="29"/>
    </row>
    <row r="369" spans="1:2" ht="16.5">
      <c r="A369" s="29"/>
      <c r="B369" s="29"/>
    </row>
    <row r="370" spans="1:2" ht="16.5">
      <c r="A370" s="29"/>
      <c r="B370" s="29"/>
    </row>
    <row r="371" spans="1:2" ht="16.5">
      <c r="A371" s="29"/>
      <c r="B371" s="29"/>
    </row>
    <row r="372" spans="1:2" ht="16.5">
      <c r="A372" s="29"/>
      <c r="B372" s="29"/>
    </row>
    <row r="373" spans="1:2" ht="16.5">
      <c r="A373" s="29"/>
      <c r="B373" s="29"/>
    </row>
    <row r="374" spans="1:2" ht="16.5">
      <c r="A374" s="29"/>
      <c r="B374" s="29"/>
    </row>
    <row r="375" spans="1:2" ht="16.5">
      <c r="A375" s="29"/>
      <c r="B375" s="29"/>
    </row>
    <row r="376" spans="1:2" ht="16.5">
      <c r="A376" s="29"/>
      <c r="B376" s="29"/>
    </row>
    <row r="377" spans="1:2" ht="16.5">
      <c r="A377" s="29"/>
      <c r="B377" s="29"/>
    </row>
    <row r="378" spans="1:2" ht="16.5">
      <c r="A378" s="29"/>
      <c r="B378" s="29"/>
    </row>
    <row r="379" spans="1:2" ht="16.5">
      <c r="A379" s="29"/>
      <c r="B379" s="29"/>
    </row>
    <row r="380" spans="1:2" ht="16.5">
      <c r="A380" s="29"/>
      <c r="B380" s="29"/>
    </row>
    <row r="381" spans="1:2" ht="16.5">
      <c r="A381" s="29"/>
      <c r="B381" s="29"/>
    </row>
    <row r="382" spans="1:2" ht="16.5">
      <c r="A382" s="29"/>
      <c r="B382" s="29"/>
    </row>
    <row r="383" spans="1:2" ht="16.5">
      <c r="A383" s="29"/>
      <c r="B383" s="29"/>
    </row>
    <row r="384" spans="1:2" ht="16.5">
      <c r="A384" s="29"/>
      <c r="B384" s="29"/>
    </row>
    <row r="385" spans="1:2" ht="16.5">
      <c r="A385" s="29"/>
      <c r="B385" s="29"/>
    </row>
    <row r="386" spans="1:2" ht="16.5">
      <c r="A386" s="29"/>
      <c r="B386" s="29"/>
    </row>
    <row r="387" spans="1:2" ht="16.5">
      <c r="A387" s="29"/>
      <c r="B387" s="29"/>
    </row>
    <row r="388" spans="1:2" ht="16.5">
      <c r="A388" s="29"/>
      <c r="B388" s="29"/>
    </row>
    <row r="389" spans="1:2" ht="16.5">
      <c r="A389" s="29"/>
      <c r="B389" s="29"/>
    </row>
    <row r="390" spans="1:2" ht="16.5">
      <c r="A390" s="29"/>
      <c r="B390" s="29"/>
    </row>
    <row r="391" spans="1:2" ht="16.5">
      <c r="A391" s="29"/>
      <c r="B391" s="29"/>
    </row>
    <row r="392" spans="1:2" ht="16.5">
      <c r="A392" s="29"/>
      <c r="B392" s="29"/>
    </row>
    <row r="393" spans="1:2" ht="16.5">
      <c r="A393" s="29"/>
      <c r="B393" s="29"/>
    </row>
    <row r="394" spans="1:2" ht="16.5">
      <c r="A394" s="29"/>
      <c r="B394" s="29"/>
    </row>
    <row r="395" spans="1:2" ht="16.5">
      <c r="A395" s="29"/>
      <c r="B395" s="29"/>
    </row>
    <row r="396" spans="1:2" ht="16.5">
      <c r="A396" s="29"/>
      <c r="B396" s="29"/>
    </row>
    <row r="397" spans="1:2" ht="16.5">
      <c r="A397" s="29"/>
      <c r="B397" s="29"/>
    </row>
    <row r="398" spans="1:2" ht="16.5">
      <c r="A398" s="29"/>
      <c r="B398" s="29"/>
    </row>
    <row r="399" spans="1:2" ht="16.5">
      <c r="A399" s="29"/>
      <c r="B399" s="29"/>
    </row>
    <row r="400" spans="1:2" ht="16.5">
      <c r="A400" s="29"/>
      <c r="B400" s="29"/>
    </row>
    <row r="401" spans="1:2" ht="16.5">
      <c r="A401" s="29"/>
      <c r="B401" s="29"/>
    </row>
    <row r="402" spans="1:2" ht="16.5">
      <c r="A402" s="29"/>
      <c r="B402" s="29"/>
    </row>
    <row r="403" spans="1:2" ht="16.5">
      <c r="A403" s="29"/>
      <c r="B403" s="29"/>
    </row>
    <row r="404" spans="1:2" ht="16.5">
      <c r="A404" s="29"/>
      <c r="B404" s="29"/>
    </row>
    <row r="405" spans="1:2" ht="16.5">
      <c r="A405" s="29"/>
      <c r="B405" s="29"/>
    </row>
    <row r="406" spans="1:2" ht="16.5">
      <c r="A406" s="29"/>
      <c r="B406" s="29"/>
    </row>
    <row r="407" spans="1:2" ht="16.5">
      <c r="A407" s="29"/>
      <c r="B407" s="29"/>
    </row>
    <row r="408" spans="1:2" ht="16.5">
      <c r="A408" s="29"/>
      <c r="B408" s="29"/>
    </row>
    <row r="409" spans="1:2" ht="16.5">
      <c r="A409" s="29"/>
      <c r="B409" s="29"/>
    </row>
    <row r="410" spans="1:2" ht="16.5">
      <c r="A410" s="29"/>
      <c r="B410" s="29"/>
    </row>
    <row r="411" spans="1:2" ht="16.5">
      <c r="A411" s="29"/>
      <c r="B411" s="29"/>
    </row>
    <row r="412" spans="1:2" ht="16.5">
      <c r="A412" s="29"/>
      <c r="B412" s="29"/>
    </row>
    <row r="413" spans="1:2" ht="16.5">
      <c r="A413" s="29"/>
      <c r="B413" s="29"/>
    </row>
    <row r="414" spans="1:2" ht="16.5">
      <c r="A414" s="29"/>
      <c r="B414" s="29"/>
    </row>
    <row r="415" spans="1:2" ht="16.5">
      <c r="A415" s="29"/>
      <c r="B415" s="29"/>
    </row>
    <row r="416" spans="1:2" ht="16.5">
      <c r="A416" s="29"/>
      <c r="B416" s="29"/>
    </row>
    <row r="417" spans="1:2" ht="16.5">
      <c r="A417" s="29"/>
      <c r="B417" s="29"/>
    </row>
    <row r="418" spans="1:2" ht="16.5">
      <c r="A418" s="29"/>
      <c r="B418" s="29"/>
    </row>
    <row r="419" spans="1:2" ht="16.5">
      <c r="A419" s="29"/>
      <c r="B419" s="29"/>
    </row>
    <row r="420" spans="1:2" ht="16.5">
      <c r="A420" s="29"/>
      <c r="B420" s="29"/>
    </row>
    <row r="421" spans="1:2" ht="16.5">
      <c r="A421" s="29"/>
      <c r="B421" s="29"/>
    </row>
    <row r="422" spans="1:2" ht="16.5">
      <c r="A422" s="29"/>
      <c r="B422" s="29"/>
    </row>
    <row r="423" spans="1:2" ht="16.5">
      <c r="A423" s="29"/>
      <c r="B423" s="29"/>
    </row>
    <row r="424" spans="1:2" ht="16.5">
      <c r="A424" s="29"/>
      <c r="B424" s="29"/>
    </row>
    <row r="425" spans="1:2" ht="16.5">
      <c r="A425" s="29"/>
      <c r="B425" s="29"/>
    </row>
    <row r="426" spans="1:2" ht="16.5">
      <c r="A426" s="29"/>
      <c r="B426" s="29"/>
    </row>
    <row r="427" spans="1:2" ht="16.5">
      <c r="A427" s="29"/>
      <c r="B427" s="29"/>
    </row>
    <row r="428" spans="1:2" ht="16.5">
      <c r="A428" s="29"/>
      <c r="B428" s="29"/>
    </row>
    <row r="429" spans="1:2" ht="16.5">
      <c r="A429" s="29"/>
      <c r="B429" s="29"/>
    </row>
    <row r="430" spans="1:2" ht="16.5">
      <c r="A430" s="29"/>
      <c r="B430" s="29"/>
    </row>
    <row r="431" spans="1:2" ht="16.5">
      <c r="A431" s="29"/>
      <c r="B431" s="29"/>
    </row>
    <row r="432" spans="1:2" ht="16.5">
      <c r="A432" s="29"/>
      <c r="B432" s="29"/>
    </row>
    <row r="433" spans="1:2" ht="16.5">
      <c r="A433" s="29"/>
      <c r="B433" s="29"/>
    </row>
    <row r="434" spans="1:2" ht="16.5">
      <c r="A434" s="29"/>
      <c r="B434" s="29"/>
    </row>
    <row r="435" spans="1:2" ht="16.5">
      <c r="A435" s="29"/>
      <c r="B435" s="29"/>
    </row>
    <row r="436" spans="1:2" ht="16.5">
      <c r="A436" s="29"/>
      <c r="B436" s="29"/>
    </row>
    <row r="437" spans="1:2" ht="16.5">
      <c r="A437" s="29"/>
      <c r="B437" s="29"/>
    </row>
    <row r="438" spans="1:2" ht="16.5">
      <c r="A438" s="29"/>
      <c r="B438" s="29"/>
    </row>
    <row r="439" spans="1:2" ht="16.5">
      <c r="A439" s="29"/>
      <c r="B439" s="29"/>
    </row>
    <row r="440" spans="1:2" ht="16.5">
      <c r="A440" s="29"/>
      <c r="B440" s="29"/>
    </row>
    <row r="441" spans="1:2" ht="16.5">
      <c r="A441" s="29"/>
      <c r="B441" s="29"/>
    </row>
    <row r="442" spans="1:2" ht="16.5">
      <c r="A442" s="29"/>
      <c r="B442" s="29"/>
    </row>
    <row r="443" spans="1:2" ht="16.5">
      <c r="A443" s="29"/>
      <c r="B443" s="29"/>
    </row>
    <row r="444" spans="1:2" ht="16.5">
      <c r="A444" s="29"/>
      <c r="B444" s="29"/>
    </row>
    <row r="445" spans="1:2" ht="16.5">
      <c r="A445" s="29"/>
      <c r="B445" s="29"/>
    </row>
    <row r="446" spans="1:2" ht="16.5">
      <c r="A446" s="29"/>
      <c r="B446" s="29"/>
    </row>
    <row r="447" spans="1:2" ht="16.5">
      <c r="A447" s="29"/>
      <c r="B447" s="29"/>
    </row>
    <row r="448" spans="1:2" ht="16.5">
      <c r="A448" s="29"/>
      <c r="B448" s="29"/>
    </row>
    <row r="449" spans="1:2" ht="16.5">
      <c r="A449" s="29"/>
      <c r="B449" s="29"/>
    </row>
    <row r="450" spans="1:2" ht="16.5">
      <c r="A450" s="29"/>
      <c r="B450" s="29"/>
    </row>
    <row r="451" spans="1:2" ht="16.5">
      <c r="A451" s="29"/>
      <c r="B451" s="29"/>
    </row>
    <row r="452" spans="1:2" ht="16.5">
      <c r="A452" s="29"/>
      <c r="B452" s="29"/>
    </row>
    <row r="453" spans="1:2" ht="16.5">
      <c r="A453" s="29"/>
      <c r="B453" s="29"/>
    </row>
    <row r="454" spans="1:2" ht="16.5">
      <c r="A454" s="29"/>
      <c r="B454" s="29"/>
    </row>
    <row r="455" spans="1:2" ht="16.5">
      <c r="A455" s="29"/>
      <c r="B455" s="29"/>
    </row>
    <row r="456" spans="1:2" ht="16.5">
      <c r="A456" s="29"/>
      <c r="B456" s="29"/>
    </row>
    <row r="457" spans="1:2" ht="16.5">
      <c r="A457" s="29"/>
      <c r="B457" s="29"/>
    </row>
    <row r="458" spans="1:2" ht="16.5">
      <c r="A458" s="29"/>
      <c r="B458" s="29"/>
    </row>
    <row r="459" spans="1:2" ht="16.5">
      <c r="A459" s="29"/>
      <c r="B459" s="29"/>
    </row>
    <row r="460" spans="1:2" ht="16.5">
      <c r="A460" s="29"/>
      <c r="B460" s="29"/>
    </row>
    <row r="461" spans="1:2" ht="16.5">
      <c r="A461" s="29"/>
      <c r="B461" s="29"/>
    </row>
    <row r="462" spans="1:2" ht="16.5">
      <c r="A462" s="29"/>
      <c r="B462" s="29"/>
    </row>
    <row r="463" spans="1:2" ht="16.5">
      <c r="A463" s="29"/>
      <c r="B463" s="29"/>
    </row>
    <row r="464" spans="1:2" ht="16.5">
      <c r="A464" s="29"/>
      <c r="B464" s="29"/>
    </row>
    <row r="465" spans="1:2" ht="16.5">
      <c r="A465" s="29"/>
      <c r="B465" s="29"/>
    </row>
    <row r="466" spans="1:2" ht="16.5">
      <c r="A466" s="29"/>
      <c r="B466" s="29"/>
    </row>
    <row r="467" spans="1:2" ht="16.5">
      <c r="A467" s="29"/>
      <c r="B467" s="29"/>
    </row>
    <row r="468" spans="1:2" ht="16.5">
      <c r="A468" s="29"/>
      <c r="B468" s="29"/>
    </row>
    <row r="469" spans="1:2" ht="16.5">
      <c r="A469" s="29"/>
      <c r="B469" s="29"/>
    </row>
    <row r="470" spans="1:2" ht="16.5">
      <c r="A470" s="29"/>
      <c r="B470" s="29"/>
    </row>
    <row r="471" spans="1:2" ht="16.5">
      <c r="A471" s="29"/>
      <c r="B471" s="29"/>
    </row>
    <row r="472" spans="1:2" ht="16.5">
      <c r="A472" s="29"/>
      <c r="B472" s="29"/>
    </row>
    <row r="473" spans="1:2" ht="16.5">
      <c r="A473" s="29"/>
      <c r="B473" s="29"/>
    </row>
    <row r="474" spans="1:2" ht="16.5">
      <c r="A474" s="29"/>
      <c r="B474" s="29"/>
    </row>
    <row r="475" spans="1:2" ht="16.5">
      <c r="A475" s="29"/>
      <c r="B475" s="29"/>
    </row>
    <row r="476" spans="1:2" ht="16.5">
      <c r="A476" s="29"/>
      <c r="B476" s="29"/>
    </row>
    <row r="477" spans="1:2" ht="16.5">
      <c r="A477" s="29"/>
      <c r="B477" s="29"/>
    </row>
    <row r="478" spans="1:2" ht="16.5">
      <c r="A478" s="29"/>
      <c r="B478" s="29"/>
    </row>
    <row r="479" spans="1:2" ht="16.5">
      <c r="A479" s="29"/>
      <c r="B479" s="29"/>
    </row>
    <row r="480" spans="1:2" ht="16.5">
      <c r="A480" s="29"/>
      <c r="B480" s="29"/>
    </row>
    <row r="481" spans="1:2" ht="16.5">
      <c r="A481" s="29"/>
      <c r="B481" s="29"/>
    </row>
    <row r="482" spans="1:2" ht="16.5">
      <c r="A482" s="29"/>
      <c r="B482" s="29"/>
    </row>
    <row r="483" spans="1:2" ht="16.5">
      <c r="A483" s="29"/>
      <c r="B483" s="29"/>
    </row>
    <row r="484" spans="1:2" ht="16.5">
      <c r="A484" s="29"/>
      <c r="B484" s="29"/>
    </row>
    <row r="485" spans="1:2" ht="16.5">
      <c r="A485" s="29"/>
      <c r="B485" s="29"/>
    </row>
    <row r="486" spans="1:2" ht="16.5">
      <c r="A486" s="29"/>
      <c r="B486" s="29"/>
    </row>
    <row r="487" spans="1:2" ht="16.5">
      <c r="A487" s="29"/>
      <c r="B487" s="29"/>
    </row>
    <row r="488" spans="1:2" ht="16.5">
      <c r="A488" s="29"/>
      <c r="B488" s="29"/>
    </row>
    <row r="489" spans="1:2" ht="16.5">
      <c r="A489" s="29"/>
      <c r="B489" s="29"/>
    </row>
    <row r="490" spans="1:2" ht="16.5">
      <c r="A490" s="29"/>
      <c r="B490" s="29"/>
    </row>
    <row r="491" spans="1:2" ht="16.5">
      <c r="A491" s="29"/>
      <c r="B491" s="29"/>
    </row>
    <row r="492" spans="1:2" ht="16.5">
      <c r="A492" s="29"/>
      <c r="B492" s="29"/>
    </row>
    <row r="493" spans="1:2" ht="16.5">
      <c r="A493" s="29"/>
      <c r="B493" s="29"/>
    </row>
    <row r="494" spans="1:2" ht="16.5">
      <c r="A494" s="29"/>
      <c r="B494" s="29"/>
    </row>
    <row r="495" spans="1:2" ht="16.5">
      <c r="A495" s="29"/>
      <c r="B495" s="29"/>
    </row>
    <row r="496" spans="1:2" ht="16.5">
      <c r="A496" s="29"/>
      <c r="B496" s="29"/>
    </row>
    <row r="497" spans="1:2" ht="16.5">
      <c r="A497" s="29"/>
      <c r="B497" s="29"/>
    </row>
    <row r="498" spans="1:2" ht="16.5">
      <c r="A498" s="29"/>
      <c r="B498" s="29"/>
    </row>
    <row r="499" spans="1:2" ht="16.5">
      <c r="A499" s="29"/>
      <c r="B499" s="29"/>
    </row>
    <row r="500" spans="1:2" ht="16.5">
      <c r="A500" s="29"/>
      <c r="B500" s="29"/>
    </row>
    <row r="501" spans="1:2" ht="16.5">
      <c r="A501" s="29"/>
      <c r="B501" s="29"/>
    </row>
    <row r="502" spans="1:2" ht="16.5">
      <c r="A502" s="29"/>
      <c r="B502" s="29"/>
    </row>
    <row r="503" spans="1:2" ht="16.5">
      <c r="A503" s="29"/>
      <c r="B503" s="29"/>
    </row>
    <row r="504" spans="1:2" ht="16.5">
      <c r="A504" s="29"/>
      <c r="B504" s="29"/>
    </row>
    <row r="505" spans="1:2" ht="16.5">
      <c r="A505" s="29"/>
      <c r="B505" s="29"/>
    </row>
    <row r="506" spans="1:2" ht="16.5">
      <c r="A506" s="29"/>
      <c r="B506" s="29"/>
    </row>
    <row r="507" spans="1:2" ht="16.5">
      <c r="A507" s="29"/>
      <c r="B507" s="29"/>
    </row>
    <row r="508" spans="1:2" ht="16.5">
      <c r="A508" s="29"/>
      <c r="B508" s="29"/>
    </row>
    <row r="509" spans="1:2" ht="16.5">
      <c r="A509" s="29"/>
      <c r="B509" s="29"/>
    </row>
    <row r="510" spans="1:2" ht="16.5">
      <c r="A510" s="29"/>
      <c r="B510" s="29"/>
    </row>
    <row r="511" spans="1:2" ht="16.5">
      <c r="A511" s="29"/>
      <c r="B511" s="29"/>
    </row>
    <row r="512" spans="1:2" ht="16.5">
      <c r="A512" s="29"/>
      <c r="B512" s="29"/>
    </row>
    <row r="513" spans="1:2" ht="16.5">
      <c r="A513" s="29"/>
      <c r="B513" s="29"/>
    </row>
    <row r="514" spans="1:2" ht="16.5">
      <c r="A514" s="29"/>
      <c r="B514" s="29"/>
    </row>
    <row r="515" spans="1:2" ht="16.5">
      <c r="A515" s="29"/>
      <c r="B515" s="29"/>
    </row>
    <row r="516" spans="1:2" ht="16.5">
      <c r="A516" s="29"/>
      <c r="B516" s="29"/>
    </row>
    <row r="517" spans="1:2" ht="16.5">
      <c r="A517" s="29"/>
      <c r="B517" s="29"/>
    </row>
    <row r="518" spans="1:2" ht="16.5">
      <c r="A518" s="29"/>
      <c r="B518" s="29"/>
    </row>
    <row r="519" spans="1:2" ht="16.5">
      <c r="A519" s="29"/>
      <c r="B519" s="29"/>
    </row>
    <row r="520" spans="1:2" ht="16.5">
      <c r="A520" s="29"/>
      <c r="B520" s="29"/>
    </row>
    <row r="521" spans="1:2" ht="16.5">
      <c r="A521" s="29"/>
      <c r="B521" s="29"/>
    </row>
    <row r="522" spans="1:2" ht="16.5">
      <c r="A522" s="29"/>
      <c r="B522" s="29"/>
    </row>
    <row r="523" spans="1:2" ht="16.5">
      <c r="A523" s="29"/>
      <c r="B523" s="29"/>
    </row>
    <row r="524" spans="1:2" ht="16.5">
      <c r="A524" s="29"/>
      <c r="B524" s="29"/>
    </row>
    <row r="525" spans="1:2" ht="16.5">
      <c r="A525" s="29"/>
      <c r="B525" s="29"/>
    </row>
    <row r="526" spans="1:2" ht="16.5">
      <c r="A526" s="29"/>
      <c r="B526" s="29"/>
    </row>
    <row r="527" spans="1:2" ht="16.5">
      <c r="A527" s="29"/>
      <c r="B527" s="29"/>
    </row>
    <row r="528" spans="1:2" ht="16.5">
      <c r="A528" s="29"/>
      <c r="B528" s="29"/>
    </row>
    <row r="529" spans="1:2" ht="16.5">
      <c r="A529" s="29"/>
      <c r="B529" s="29"/>
    </row>
    <row r="530" spans="1:2" ht="16.5">
      <c r="A530" s="29"/>
      <c r="B530" s="29"/>
    </row>
    <row r="531" spans="1:2" ht="16.5">
      <c r="A531" s="29"/>
      <c r="B531" s="29"/>
    </row>
    <row r="532" spans="1:2" ht="16.5">
      <c r="A532" s="29"/>
      <c r="B532" s="29"/>
    </row>
    <row r="533" spans="1:2" ht="16.5">
      <c r="A533" s="29"/>
      <c r="B533" s="29"/>
    </row>
    <row r="534" spans="1:2" ht="16.5">
      <c r="A534" s="29"/>
      <c r="B534" s="29"/>
    </row>
    <row r="535" spans="1:2" ht="16.5">
      <c r="A535" s="29"/>
      <c r="B535" s="29"/>
    </row>
    <row r="536" spans="1:2" ht="16.5">
      <c r="A536" s="29"/>
      <c r="B536" s="29"/>
    </row>
    <row r="537" spans="1:2" ht="16.5">
      <c r="A537" s="29"/>
      <c r="B537" s="29"/>
    </row>
    <row r="538" spans="1:2" ht="16.5">
      <c r="A538" s="29"/>
      <c r="B538" s="29"/>
    </row>
    <row r="539" spans="1:2" ht="16.5">
      <c r="A539" s="29"/>
      <c r="B539" s="29"/>
    </row>
    <row r="540" spans="1:2" ht="16.5">
      <c r="A540" s="29"/>
      <c r="B540" s="29"/>
    </row>
    <row r="541" spans="1:2" ht="16.5">
      <c r="A541" s="29"/>
      <c r="B541" s="29"/>
    </row>
    <row r="542" spans="1:2" ht="16.5">
      <c r="A542" s="29"/>
      <c r="B542" s="29"/>
    </row>
    <row r="543" spans="1:2" ht="16.5">
      <c r="A543" s="29"/>
      <c r="B543" s="29"/>
    </row>
    <row r="544" spans="1:2" ht="16.5">
      <c r="A544" s="29"/>
      <c r="B544" s="29"/>
    </row>
    <row r="545" spans="1:2" ht="16.5">
      <c r="A545" s="29"/>
      <c r="B545" s="29"/>
    </row>
    <row r="546" spans="1:2" ht="16.5">
      <c r="A546" s="29"/>
      <c r="B546" s="29"/>
    </row>
    <row r="547" spans="1:2" ht="16.5">
      <c r="A547" s="29"/>
      <c r="B547" s="29"/>
    </row>
    <row r="548" spans="1:2" ht="16.5">
      <c r="A548" s="29"/>
      <c r="B548" s="29"/>
    </row>
    <row r="549" spans="1:2" ht="16.5">
      <c r="A549" s="29"/>
      <c r="B549" s="29"/>
    </row>
    <row r="550" spans="1:2" ht="16.5">
      <c r="A550" s="29"/>
      <c r="B550" s="29"/>
    </row>
    <row r="551" spans="1:2" ht="16.5">
      <c r="A551" s="29"/>
      <c r="B551" s="29"/>
    </row>
    <row r="552" spans="1:2" ht="16.5">
      <c r="A552" s="29"/>
      <c r="B552" s="29"/>
    </row>
    <row r="553" spans="1:2" ht="16.5">
      <c r="A553" s="29"/>
      <c r="B553" s="29"/>
    </row>
    <row r="554" spans="1:2" ht="16.5">
      <c r="A554" s="29"/>
      <c r="B554" s="29"/>
    </row>
    <row r="555" spans="1:2" ht="16.5">
      <c r="A555" s="29"/>
      <c r="B555" s="29"/>
    </row>
    <row r="556" spans="1:2" ht="16.5">
      <c r="A556" s="29"/>
      <c r="B556" s="29"/>
    </row>
    <row r="557" spans="1:2" ht="16.5">
      <c r="A557" s="29"/>
      <c r="B557" s="29"/>
    </row>
    <row r="558" spans="1:2" ht="16.5">
      <c r="A558" s="29"/>
      <c r="B558" s="29"/>
    </row>
    <row r="559" spans="1:2" ht="16.5">
      <c r="A559" s="29"/>
      <c r="B559" s="29"/>
    </row>
    <row r="560" spans="1:2" ht="16.5">
      <c r="A560" s="29"/>
      <c r="B560" s="29"/>
    </row>
    <row r="561" spans="1:2" ht="16.5">
      <c r="A561" s="29"/>
      <c r="B561" s="29"/>
    </row>
    <row r="562" spans="1:2" ht="16.5">
      <c r="A562" s="29"/>
      <c r="B562" s="29"/>
    </row>
    <row r="563" spans="1:2" ht="16.5">
      <c r="A563" s="29"/>
      <c r="B563" s="29"/>
    </row>
    <row r="564" spans="1:2" ht="16.5">
      <c r="A564" s="29"/>
      <c r="B564" s="29"/>
    </row>
    <row r="565" spans="1:2" ht="16.5">
      <c r="A565" s="29"/>
      <c r="B565" s="29"/>
    </row>
    <row r="566" spans="1:2" ht="16.5">
      <c r="A566" s="29"/>
      <c r="B566" s="29"/>
    </row>
    <row r="567" spans="1:2" ht="16.5">
      <c r="A567" s="29"/>
      <c r="B567" s="29"/>
    </row>
    <row r="568" spans="1:2" ht="16.5">
      <c r="A568" s="29"/>
      <c r="B568" s="29"/>
    </row>
    <row r="569" spans="1:2" ht="16.5">
      <c r="A569" s="29"/>
      <c r="B569" s="29"/>
    </row>
    <row r="570" spans="1:2" ht="16.5">
      <c r="A570" s="29"/>
      <c r="B570" s="29"/>
    </row>
    <row r="571" spans="1:2" ht="16.5">
      <c r="A571" s="29"/>
      <c r="B571" s="29"/>
    </row>
    <row r="572" spans="1:2" ht="16.5">
      <c r="A572" s="29"/>
      <c r="B572" s="29"/>
    </row>
    <row r="573" spans="1:2" ht="16.5">
      <c r="A573" s="29"/>
      <c r="B573" s="29"/>
    </row>
    <row r="574" spans="1:2" ht="16.5">
      <c r="A574" s="29"/>
      <c r="B574" s="29"/>
    </row>
    <row r="575" spans="1:2" ht="16.5">
      <c r="A575" s="29"/>
      <c r="B575" s="29"/>
    </row>
    <row r="576" spans="1:2" ht="16.5">
      <c r="A576" s="29"/>
      <c r="B576" s="29"/>
    </row>
    <row r="577" spans="1:2" ht="16.5">
      <c r="A577" s="29"/>
      <c r="B577" s="29"/>
    </row>
    <row r="578" spans="1:2" ht="16.5">
      <c r="A578" s="29"/>
      <c r="B578" s="29"/>
    </row>
    <row r="579" spans="1:2" ht="16.5">
      <c r="A579" s="29"/>
      <c r="B579" s="29"/>
    </row>
    <row r="580" spans="1:2" ht="16.5">
      <c r="A580" s="29"/>
      <c r="B580" s="29"/>
    </row>
    <row r="581" spans="1:2" ht="16.5">
      <c r="A581" s="29"/>
      <c r="B581" s="29"/>
    </row>
    <row r="582" spans="1:2" ht="16.5">
      <c r="A582" s="29"/>
      <c r="B582" s="29"/>
    </row>
    <row r="583" spans="1:2" ht="16.5">
      <c r="A583" s="29"/>
      <c r="B583" s="29"/>
    </row>
    <row r="584" spans="1:2" ht="16.5">
      <c r="A584" s="29"/>
      <c r="B584" s="29"/>
    </row>
    <row r="585" spans="1:2" ht="16.5">
      <c r="A585" s="29"/>
      <c r="B585" s="29"/>
    </row>
    <row r="586" spans="1:2" ht="16.5">
      <c r="A586" s="29"/>
      <c r="B586" s="29"/>
    </row>
    <row r="587" spans="1:2" ht="16.5">
      <c r="A587" s="29"/>
      <c r="B587" s="29"/>
    </row>
    <row r="588" spans="1:2" ht="16.5">
      <c r="A588" s="29"/>
      <c r="B588" s="29"/>
    </row>
    <row r="589" spans="1:2" ht="16.5">
      <c r="A589" s="29"/>
      <c r="B589" s="29"/>
    </row>
    <row r="590" spans="1:2" ht="16.5">
      <c r="A590" s="29"/>
      <c r="B590" s="29"/>
    </row>
    <row r="591" spans="1:2" ht="16.5">
      <c r="A591" s="29"/>
      <c r="B591" s="29"/>
    </row>
    <row r="592" spans="1:2" ht="16.5">
      <c r="A592" s="29"/>
      <c r="B592" s="29"/>
    </row>
    <row r="593" spans="1:2" ht="16.5">
      <c r="A593" s="29"/>
      <c r="B593" s="29"/>
    </row>
    <row r="594" spans="1:2" ht="16.5">
      <c r="A594" s="29"/>
      <c r="B594" s="29"/>
    </row>
    <row r="595" spans="1:2" ht="16.5">
      <c r="A595" s="29"/>
      <c r="B595" s="29"/>
    </row>
    <row r="596" spans="1:2" ht="16.5">
      <c r="A596" s="29"/>
      <c r="B596" s="29"/>
    </row>
    <row r="597" spans="1:2" ht="16.5">
      <c r="A597" s="29"/>
      <c r="B597" s="29"/>
    </row>
    <row r="598" spans="1:2" ht="16.5">
      <c r="A598" s="29"/>
      <c r="B598" s="29"/>
    </row>
    <row r="599" spans="1:2" ht="16.5">
      <c r="A599" s="29"/>
      <c r="B599" s="29"/>
    </row>
    <row r="600" spans="1:2" ht="16.5">
      <c r="A600" s="29"/>
      <c r="B600" s="29"/>
    </row>
    <row r="601" spans="1:2" ht="16.5">
      <c r="A601" s="29"/>
      <c r="B601" s="29"/>
    </row>
    <row r="602" spans="1:2" ht="16.5">
      <c r="A602" s="29"/>
      <c r="B602" s="29"/>
    </row>
    <row r="603" spans="1:2" ht="16.5">
      <c r="A603" s="29"/>
      <c r="B603" s="29"/>
    </row>
    <row r="604" spans="1:2" ht="16.5">
      <c r="A604" s="29"/>
      <c r="B604" s="29"/>
    </row>
    <row r="605" spans="1:2" ht="16.5">
      <c r="A605" s="29"/>
      <c r="B605" s="29"/>
    </row>
    <row r="606" spans="1:2" ht="16.5">
      <c r="A606" s="29"/>
      <c r="B606" s="29"/>
    </row>
    <row r="607" spans="1:2" ht="16.5">
      <c r="A607" s="29"/>
      <c r="B607" s="29"/>
    </row>
    <row r="608" spans="1:2" ht="16.5">
      <c r="A608" s="29"/>
      <c r="B608" s="29"/>
    </row>
    <row r="609" spans="1:2" ht="16.5">
      <c r="A609" s="29"/>
      <c r="B609" s="29"/>
    </row>
    <row r="610" spans="1:2" ht="16.5">
      <c r="A610" s="29"/>
      <c r="B610" s="29"/>
    </row>
    <row r="611" spans="1:2" ht="16.5">
      <c r="A611" s="29"/>
      <c r="B611" s="29"/>
    </row>
    <row r="612" spans="1:2" ht="16.5">
      <c r="A612" s="29"/>
      <c r="B612" s="29"/>
    </row>
    <row r="613" spans="1:2" ht="16.5">
      <c r="A613" s="29"/>
      <c r="B613" s="29"/>
    </row>
    <row r="614" spans="1:2" ht="16.5">
      <c r="A614" s="29"/>
      <c r="B614" s="29"/>
    </row>
    <row r="615" spans="1:2" ht="16.5">
      <c r="A615" s="29"/>
      <c r="B615" s="29"/>
    </row>
    <row r="616" spans="1:2" ht="16.5">
      <c r="A616" s="29"/>
      <c r="B616" s="29"/>
    </row>
    <row r="617" spans="1:2" ht="16.5">
      <c r="A617" s="29"/>
      <c r="B617" s="29"/>
    </row>
    <row r="618" spans="1:2" ht="16.5">
      <c r="A618" s="29"/>
      <c r="B618" s="29"/>
    </row>
    <row r="619" spans="1:2" ht="16.5">
      <c r="A619" s="29"/>
      <c r="B619" s="29"/>
    </row>
    <row r="620" spans="1:2" ht="16.5">
      <c r="A620" s="29"/>
      <c r="B620" s="29"/>
    </row>
    <row r="621" spans="1:2" ht="16.5">
      <c r="A621" s="29"/>
      <c r="B621" s="29"/>
    </row>
    <row r="622" spans="1:2" ht="16.5">
      <c r="A622" s="29"/>
      <c r="B622" s="29"/>
    </row>
    <row r="623" spans="1:2" ht="16.5">
      <c r="A623" s="29"/>
      <c r="B623" s="29"/>
    </row>
    <row r="624" spans="1:2" ht="16.5">
      <c r="A624" s="29"/>
      <c r="B624" s="29"/>
    </row>
    <row r="625" spans="1:2" ht="16.5">
      <c r="A625" s="29"/>
      <c r="B625" s="29"/>
    </row>
    <row r="626" spans="1:2" ht="16.5">
      <c r="A626" s="29"/>
      <c r="B626" s="29"/>
    </row>
    <row r="627" spans="1:2" ht="16.5">
      <c r="A627" s="29"/>
      <c r="B627" s="29"/>
    </row>
    <row r="628" spans="1:2" ht="16.5">
      <c r="A628" s="29"/>
      <c r="B628" s="29"/>
    </row>
    <row r="629" spans="1:2" ht="16.5">
      <c r="A629" s="29"/>
      <c r="B629" s="29"/>
    </row>
    <row r="630" spans="1:2" ht="16.5">
      <c r="A630" s="29"/>
      <c r="B630" s="29"/>
    </row>
    <row r="631" spans="1:2" ht="16.5">
      <c r="A631" s="29"/>
      <c r="B631" s="29"/>
    </row>
    <row r="632" spans="1:2" ht="16.5">
      <c r="A632" s="29"/>
      <c r="B632" s="29"/>
    </row>
    <row r="633" spans="1:2" ht="16.5">
      <c r="A633" s="29"/>
      <c r="B633" s="29"/>
    </row>
    <row r="634" spans="1:2" ht="16.5">
      <c r="A634" s="29"/>
      <c r="B634" s="29"/>
    </row>
    <row r="635" spans="1:2" ht="16.5">
      <c r="A635" s="29"/>
      <c r="B635" s="29"/>
    </row>
    <row r="636" spans="1:2" ht="16.5">
      <c r="A636" s="29"/>
      <c r="B636" s="29"/>
    </row>
    <row r="637" spans="1:2" ht="16.5">
      <c r="A637" s="29"/>
      <c r="B637" s="29"/>
    </row>
    <row r="638" spans="1:2" ht="16.5">
      <c r="A638" s="29"/>
      <c r="B638" s="29"/>
    </row>
    <row r="639" spans="1:2" ht="16.5">
      <c r="A639" s="29"/>
      <c r="B639" s="29"/>
    </row>
    <row r="640" spans="1:2" ht="16.5">
      <c r="A640" s="29"/>
      <c r="B640" s="29"/>
    </row>
    <row r="641" spans="1:2" ht="16.5">
      <c r="A641" s="29"/>
      <c r="B641" s="29"/>
    </row>
    <row r="642" spans="1:2" ht="16.5">
      <c r="A642" s="29"/>
      <c r="B642" s="29"/>
    </row>
    <row r="643" spans="1:2" ht="16.5">
      <c r="A643" s="29"/>
      <c r="B643" s="29"/>
    </row>
    <row r="644" spans="1:2" ht="16.5">
      <c r="A644" s="29"/>
      <c r="B644" s="29"/>
    </row>
    <row r="645" spans="1:2" ht="16.5">
      <c r="A645" s="29"/>
      <c r="B645" s="29"/>
    </row>
    <row r="646" spans="1:2" ht="16.5">
      <c r="A646" s="29"/>
      <c r="B646" s="29"/>
    </row>
    <row r="647" spans="1:2" ht="16.5">
      <c r="A647" s="29"/>
      <c r="B647" s="29"/>
    </row>
    <row r="648" spans="1:2" ht="16.5">
      <c r="A648" s="29"/>
      <c r="B648" s="29"/>
    </row>
    <row r="649" spans="1:2" ht="16.5">
      <c r="A649" s="29"/>
      <c r="B649" s="29"/>
    </row>
    <row r="650" spans="1:2" ht="16.5">
      <c r="A650" s="29"/>
      <c r="B650" s="29"/>
    </row>
    <row r="651" spans="1:2" ht="16.5">
      <c r="A651" s="29"/>
      <c r="B651" s="29"/>
    </row>
    <row r="652" spans="1:2" ht="16.5">
      <c r="A652" s="29"/>
      <c r="B652" s="29"/>
    </row>
    <row r="653" spans="1:2" ht="16.5">
      <c r="A653" s="29"/>
      <c r="B653" s="29"/>
    </row>
    <row r="654" spans="1:2" ht="16.5">
      <c r="A654" s="29"/>
      <c r="B654" s="29"/>
    </row>
    <row r="655" spans="1:2" ht="16.5">
      <c r="A655" s="29"/>
      <c r="B655" s="29"/>
    </row>
    <row r="656" spans="1:2" ht="16.5">
      <c r="A656" s="29"/>
      <c r="B656" s="29"/>
    </row>
    <row r="657" spans="1:2" ht="16.5">
      <c r="A657" s="29"/>
      <c r="B657" s="29"/>
    </row>
    <row r="658" spans="1:2" ht="16.5">
      <c r="A658" s="29"/>
      <c r="B658" s="29"/>
    </row>
    <row r="659" spans="1:2" ht="16.5">
      <c r="A659" s="29"/>
      <c r="B659" s="29"/>
    </row>
    <row r="660" spans="1:2" ht="16.5">
      <c r="A660" s="29"/>
      <c r="B660" s="29"/>
    </row>
    <row r="661" spans="1:2" ht="16.5">
      <c r="A661" s="29"/>
      <c r="B661" s="29"/>
    </row>
    <row r="662" spans="1:2" ht="16.5">
      <c r="A662" s="29"/>
      <c r="B662" s="29"/>
    </row>
    <row r="663" spans="1:2" ht="16.5">
      <c r="A663" s="29"/>
      <c r="B663" s="29"/>
    </row>
    <row r="664" spans="1:2" ht="16.5">
      <c r="A664" s="29"/>
      <c r="B664" s="29"/>
    </row>
    <row r="665" spans="1:2" ht="16.5">
      <c r="A665" s="29"/>
      <c r="B665" s="29"/>
    </row>
    <row r="666" spans="1:2" ht="16.5">
      <c r="A666" s="29"/>
      <c r="B666" s="29"/>
    </row>
    <row r="667" spans="1:2" ht="16.5">
      <c r="A667" s="29"/>
      <c r="B667" s="29"/>
    </row>
    <row r="668" spans="1:2" ht="16.5">
      <c r="A668" s="29"/>
      <c r="B668" s="29"/>
    </row>
    <row r="669" spans="1:2" ht="16.5">
      <c r="A669" s="29"/>
      <c r="B669" s="29"/>
    </row>
    <row r="670" spans="1:2" ht="16.5">
      <c r="A670" s="29"/>
      <c r="B670" s="29"/>
    </row>
    <row r="671" spans="1:2" ht="16.5">
      <c r="A671" s="29"/>
      <c r="B671" s="29"/>
    </row>
    <row r="672" spans="1:2" ht="16.5">
      <c r="A672" s="29"/>
      <c r="B672" s="29"/>
    </row>
    <row r="673" spans="1:2" ht="16.5">
      <c r="A673" s="29"/>
      <c r="B673" s="29"/>
    </row>
    <row r="674" spans="1:2" ht="16.5">
      <c r="A674" s="29"/>
      <c r="B674" s="29"/>
    </row>
    <row r="675" spans="1:2" ht="16.5">
      <c r="A675" s="29"/>
      <c r="B675" s="29"/>
    </row>
    <row r="676" spans="1:2" ht="16.5">
      <c r="A676" s="29"/>
      <c r="B676" s="29"/>
    </row>
    <row r="677" spans="1:2" ht="16.5">
      <c r="A677" s="29"/>
      <c r="B677" s="29"/>
    </row>
    <row r="678" spans="1:2" ht="16.5">
      <c r="A678" s="29"/>
      <c r="B678" s="29"/>
    </row>
    <row r="679" spans="1:2" ht="16.5">
      <c r="A679" s="29"/>
      <c r="B679" s="29"/>
    </row>
    <row r="680" spans="1:2" ht="16.5">
      <c r="A680" s="29"/>
      <c r="B680" s="29"/>
    </row>
    <row r="681" spans="1:2" ht="16.5">
      <c r="A681" s="29"/>
      <c r="B681" s="29"/>
    </row>
    <row r="682" spans="1:2" ht="16.5">
      <c r="A682" s="29"/>
      <c r="B682" s="29"/>
    </row>
    <row r="683" spans="1:2" ht="16.5">
      <c r="A683" s="29"/>
      <c r="B683" s="29"/>
    </row>
    <row r="684" spans="1:2" ht="16.5">
      <c r="A684" s="29"/>
      <c r="B684" s="29"/>
    </row>
    <row r="685" spans="1:2" ht="16.5">
      <c r="A685" s="29"/>
      <c r="B685" s="29"/>
    </row>
    <row r="686" spans="1:2" ht="16.5">
      <c r="A686" s="29"/>
      <c r="B686" s="29"/>
    </row>
    <row r="687" spans="1:2" ht="16.5">
      <c r="A687" s="29"/>
      <c r="B687" s="29"/>
    </row>
    <row r="688" spans="1:2" ht="16.5">
      <c r="A688" s="29"/>
      <c r="B688" s="29"/>
    </row>
    <row r="689" spans="1:2" ht="16.5">
      <c r="A689" s="29"/>
      <c r="B689" s="29"/>
    </row>
    <row r="690" spans="1:2" ht="16.5">
      <c r="A690" s="29"/>
      <c r="B690" s="29"/>
    </row>
    <row r="691" spans="1:2" ht="16.5">
      <c r="A691" s="29"/>
      <c r="B691" s="29"/>
    </row>
    <row r="692" spans="1:2" ht="16.5">
      <c r="A692" s="29"/>
      <c r="B692" s="29"/>
    </row>
    <row r="693" spans="1:2" ht="16.5">
      <c r="A693" s="29"/>
      <c r="B693" s="29"/>
    </row>
    <row r="694" spans="1:2" ht="16.5">
      <c r="A694" s="29"/>
      <c r="B694" s="29"/>
    </row>
    <row r="695" spans="1:2" ht="16.5">
      <c r="A695" s="29"/>
      <c r="B695" s="29"/>
    </row>
    <row r="696" spans="1:2" ht="16.5">
      <c r="A696" s="29"/>
      <c r="B696" s="29"/>
    </row>
    <row r="697" spans="1:2" ht="16.5">
      <c r="A697" s="29"/>
      <c r="B697" s="29"/>
    </row>
    <row r="698" spans="1:2" ht="16.5">
      <c r="A698" s="29"/>
      <c r="B698" s="29"/>
    </row>
    <row r="699" spans="1:2" ht="16.5">
      <c r="A699" s="29"/>
      <c r="B699" s="29"/>
    </row>
    <row r="700" spans="1:2" ht="16.5">
      <c r="A700" s="29"/>
      <c r="B700" s="29"/>
    </row>
    <row r="701" spans="1:2" ht="16.5">
      <c r="A701" s="29"/>
      <c r="B701" s="29"/>
    </row>
    <row r="702" spans="1:2" ht="16.5">
      <c r="A702" s="29"/>
      <c r="B702" s="29"/>
    </row>
    <row r="703" spans="1:2" ht="16.5">
      <c r="A703" s="29"/>
      <c r="B703" s="29"/>
    </row>
    <row r="704" spans="1:2" ht="16.5">
      <c r="A704" s="29"/>
      <c r="B704" s="29"/>
    </row>
    <row r="705" spans="1:2" ht="16.5">
      <c r="A705" s="29"/>
      <c r="B705" s="29"/>
    </row>
    <row r="706" spans="1:2" ht="16.5">
      <c r="A706" s="29"/>
      <c r="B706" s="29"/>
    </row>
    <row r="707" spans="1:2" ht="16.5">
      <c r="A707" s="29"/>
      <c r="B707" s="29"/>
    </row>
    <row r="708" spans="1:2" ht="16.5">
      <c r="A708" s="29"/>
      <c r="B708" s="29"/>
    </row>
    <row r="709" spans="1:2" ht="16.5">
      <c r="A709" s="29"/>
      <c r="B709" s="29"/>
    </row>
    <row r="710" spans="1:2" ht="16.5">
      <c r="A710" s="29"/>
      <c r="B710" s="29"/>
    </row>
    <row r="711" spans="1:2" ht="16.5">
      <c r="A711" s="29"/>
      <c r="B711" s="29"/>
    </row>
    <row r="712" spans="1:2" ht="16.5">
      <c r="A712" s="29"/>
      <c r="B712" s="29"/>
    </row>
    <row r="713" spans="1:2" ht="16.5">
      <c r="A713" s="29"/>
      <c r="B713" s="29"/>
    </row>
    <row r="714" spans="1:2" ht="16.5">
      <c r="A714" s="29"/>
      <c r="B714" s="29"/>
    </row>
    <row r="715" spans="1:2" ht="16.5">
      <c r="A715" s="29"/>
      <c r="B715" s="29"/>
    </row>
    <row r="716" spans="1:2" ht="16.5">
      <c r="A716" s="29"/>
      <c r="B716" s="29"/>
    </row>
    <row r="717" spans="1:2" ht="16.5">
      <c r="A717" s="29"/>
      <c r="B717" s="29"/>
    </row>
    <row r="718" spans="1:2" ht="16.5">
      <c r="A718" s="29"/>
      <c r="B718" s="29"/>
    </row>
    <row r="719" spans="1:2" ht="16.5">
      <c r="A719" s="29"/>
      <c r="B719" s="29"/>
    </row>
    <row r="720" spans="1:2" ht="16.5">
      <c r="A720" s="29"/>
      <c r="B720" s="29"/>
    </row>
    <row r="721" spans="1:2" ht="16.5">
      <c r="A721" s="29"/>
      <c r="B721" s="29"/>
    </row>
    <row r="722" spans="1:2" ht="16.5">
      <c r="A722" s="29"/>
      <c r="B722" s="29"/>
    </row>
    <row r="723" spans="1:2" ht="16.5">
      <c r="A723" s="29"/>
      <c r="B723" s="29"/>
    </row>
    <row r="724" spans="1:2" ht="16.5">
      <c r="A724" s="29"/>
      <c r="B724" s="29"/>
    </row>
    <row r="725" spans="1:2" ht="16.5">
      <c r="A725" s="29"/>
      <c r="B725" s="29"/>
    </row>
    <row r="726" spans="1:2" ht="16.5">
      <c r="A726" s="29"/>
      <c r="B726" s="29"/>
    </row>
    <row r="727" spans="1:2" ht="16.5">
      <c r="A727" s="29"/>
      <c r="B727" s="29"/>
    </row>
    <row r="728" spans="1:2" ht="16.5">
      <c r="A728" s="29"/>
      <c r="B728" s="29"/>
    </row>
    <row r="729" spans="1:2" ht="16.5">
      <c r="A729" s="29"/>
      <c r="B729" s="29"/>
    </row>
    <row r="730" spans="1:2" ht="16.5">
      <c r="A730" s="29"/>
      <c r="B730" s="29"/>
    </row>
    <row r="731" spans="1:2" ht="16.5">
      <c r="A731" s="29"/>
      <c r="B731" s="29"/>
    </row>
    <row r="732" spans="1:2" ht="16.5">
      <c r="A732" s="29"/>
      <c r="B732" s="29"/>
    </row>
    <row r="733" spans="1:2" ht="16.5">
      <c r="A733" s="29"/>
      <c r="B733" s="29"/>
    </row>
    <row r="734" spans="1:2" ht="16.5">
      <c r="A734" s="29"/>
      <c r="B734" s="29"/>
    </row>
    <row r="735" spans="1:2" ht="16.5">
      <c r="A735" s="29"/>
      <c r="B735" s="29"/>
    </row>
    <row r="736" spans="1:2" ht="16.5">
      <c r="A736" s="29"/>
      <c r="B736" s="29"/>
    </row>
    <row r="737" spans="1:2" ht="16.5">
      <c r="A737" s="29"/>
      <c r="B737" s="29"/>
    </row>
    <row r="738" spans="1:2" ht="16.5">
      <c r="A738" s="29"/>
      <c r="B738" s="29"/>
    </row>
    <row r="739" spans="1:2" ht="16.5">
      <c r="A739" s="29"/>
      <c r="B739" s="29"/>
    </row>
    <row r="740" spans="1:2" ht="16.5">
      <c r="A740" s="29"/>
      <c r="B740" s="29"/>
    </row>
    <row r="741" spans="1:2" ht="16.5">
      <c r="A741" s="29"/>
      <c r="B741" s="29"/>
    </row>
    <row r="742" spans="1:2" ht="16.5">
      <c r="A742" s="29"/>
      <c r="B742" s="29"/>
    </row>
    <row r="743" spans="1:2" ht="16.5">
      <c r="A743" s="29"/>
      <c r="B743" s="29"/>
    </row>
    <row r="744" spans="1:2" ht="16.5">
      <c r="A744" s="29"/>
      <c r="B744" s="29"/>
    </row>
    <row r="745" spans="1:2" ht="16.5">
      <c r="A745" s="29"/>
      <c r="B745" s="29"/>
    </row>
    <row r="746" spans="1:2" ht="16.5">
      <c r="A746" s="29"/>
      <c r="B746" s="29"/>
    </row>
    <row r="747" spans="1:2" ht="16.5">
      <c r="A747" s="29"/>
      <c r="B747" s="29"/>
    </row>
    <row r="748" spans="1:2" ht="16.5">
      <c r="A748" s="29"/>
      <c r="B748" s="29"/>
    </row>
    <row r="749" spans="1:2" ht="16.5">
      <c r="A749" s="29"/>
      <c r="B749" s="29"/>
    </row>
    <row r="750" spans="1:2" ht="16.5">
      <c r="A750" s="29"/>
      <c r="B750" s="29"/>
    </row>
    <row r="751" spans="1:2" ht="16.5">
      <c r="A751" s="29"/>
      <c r="B751" s="29"/>
    </row>
    <row r="752" spans="1:2" ht="16.5">
      <c r="A752" s="29"/>
      <c r="B752" s="29"/>
    </row>
    <row r="753" spans="1:2" ht="16.5">
      <c r="A753" s="29"/>
      <c r="B753" s="29"/>
    </row>
    <row r="754" spans="1:2" ht="16.5">
      <c r="A754" s="29"/>
      <c r="B754" s="29"/>
    </row>
    <row r="755" spans="1:2" ht="16.5">
      <c r="A755" s="29"/>
      <c r="B755" s="29"/>
    </row>
    <row r="756" spans="1:2" ht="16.5">
      <c r="A756" s="29"/>
      <c r="B756" s="29"/>
    </row>
    <row r="757" spans="1:2" ht="16.5">
      <c r="A757" s="29"/>
      <c r="B757" s="29"/>
    </row>
    <row r="758" spans="1:2" ht="16.5">
      <c r="A758" s="29"/>
      <c r="B758" s="29"/>
    </row>
    <row r="759" spans="1:2" ht="16.5">
      <c r="A759" s="29"/>
      <c r="B759" s="29"/>
    </row>
    <row r="760" spans="1:2" ht="16.5">
      <c r="A760" s="29"/>
      <c r="B760" s="29"/>
    </row>
    <row r="761" spans="1:2" ht="16.5">
      <c r="A761" s="29"/>
      <c r="B761" s="29"/>
    </row>
    <row r="762" spans="1:2" ht="16.5">
      <c r="A762" s="29"/>
      <c r="B762" s="29"/>
    </row>
    <row r="763" spans="1:2" ht="16.5">
      <c r="A763" s="29"/>
      <c r="B763" s="29"/>
    </row>
    <row r="764" spans="1:2" ht="16.5">
      <c r="A764" s="29"/>
      <c r="B764" s="29"/>
    </row>
    <row r="765" spans="1:2" ht="16.5">
      <c r="A765" s="29"/>
      <c r="B765" s="29"/>
    </row>
    <row r="766" spans="1:2" ht="16.5">
      <c r="A766" s="29"/>
      <c r="B766" s="29"/>
    </row>
    <row r="767" spans="1:2" ht="16.5">
      <c r="A767" s="29"/>
      <c r="B767" s="29"/>
    </row>
    <row r="768" spans="1:2" ht="16.5">
      <c r="A768" s="29"/>
      <c r="B768" s="29"/>
    </row>
    <row r="769" spans="1:2" ht="16.5">
      <c r="A769" s="29"/>
      <c r="B769" s="29"/>
    </row>
    <row r="770" spans="1:2" ht="16.5">
      <c r="A770" s="29"/>
      <c r="B770" s="29"/>
    </row>
    <row r="771" spans="1:2" ht="16.5">
      <c r="A771" s="29"/>
      <c r="B771" s="29"/>
    </row>
    <row r="772" spans="1:2" ht="16.5">
      <c r="A772" s="29"/>
      <c r="B772" s="29"/>
    </row>
    <row r="773" spans="1:2" ht="16.5">
      <c r="A773" s="29"/>
      <c r="B773" s="29"/>
    </row>
    <row r="774" spans="1:2" ht="16.5">
      <c r="A774" s="29"/>
      <c r="B774" s="29"/>
    </row>
    <row r="775" spans="1:2" ht="16.5">
      <c r="A775" s="29"/>
      <c r="B775" s="29"/>
    </row>
    <row r="776" spans="1:2" ht="16.5">
      <c r="A776" s="29"/>
      <c r="B776" s="29"/>
    </row>
    <row r="777" spans="1:2" ht="16.5">
      <c r="A777" s="29"/>
      <c r="B777" s="29"/>
    </row>
    <row r="778" spans="1:2" ht="16.5">
      <c r="A778" s="29"/>
      <c r="B778" s="29"/>
    </row>
    <row r="779" spans="1:2" ht="16.5">
      <c r="A779" s="29"/>
      <c r="B779" s="29"/>
    </row>
    <row r="780" spans="1:2" ht="16.5">
      <c r="A780" s="29"/>
      <c r="B780" s="29"/>
    </row>
    <row r="781" spans="1:2" ht="16.5">
      <c r="A781" s="29"/>
      <c r="B781" s="29"/>
    </row>
    <row r="782" spans="1:2" ht="16.5">
      <c r="A782" s="29"/>
      <c r="B782" s="29"/>
    </row>
    <row r="783" spans="1:2" ht="16.5">
      <c r="A783" s="29"/>
      <c r="B783" s="29"/>
    </row>
    <row r="784" spans="1:2" ht="16.5">
      <c r="A784" s="29"/>
      <c r="B784" s="29"/>
    </row>
    <row r="785" spans="1:2" ht="16.5">
      <c r="A785" s="29"/>
      <c r="B785" s="29"/>
    </row>
    <row r="786" spans="1:2" ht="16.5">
      <c r="A786" s="29"/>
      <c r="B786" s="29"/>
    </row>
    <row r="787" spans="1:2" ht="16.5">
      <c r="A787" s="29"/>
      <c r="B787" s="29"/>
    </row>
    <row r="788" spans="1:2" ht="16.5">
      <c r="A788" s="29"/>
      <c r="B788" s="29"/>
    </row>
    <row r="789" spans="1:2" ht="16.5">
      <c r="A789" s="29"/>
      <c r="B789" s="29"/>
    </row>
    <row r="790" spans="1:2" ht="16.5">
      <c r="A790" s="29"/>
      <c r="B790" s="29"/>
    </row>
    <row r="791" spans="1:2" ht="16.5">
      <c r="A791" s="29"/>
      <c r="B791" s="29"/>
    </row>
    <row r="792" spans="1:2" ht="16.5">
      <c r="A792" s="29"/>
      <c r="B792" s="29"/>
    </row>
    <row r="793" spans="1:2" ht="16.5">
      <c r="A793" s="29"/>
      <c r="B793" s="29"/>
    </row>
    <row r="794" spans="1:2" ht="16.5">
      <c r="A794" s="29"/>
      <c r="B794" s="29"/>
    </row>
    <row r="795" spans="1:2" ht="16.5">
      <c r="A795" s="29"/>
      <c r="B795" s="29"/>
    </row>
    <row r="796" spans="1:2" ht="16.5">
      <c r="A796" s="29"/>
      <c r="B796" s="29"/>
    </row>
    <row r="797" spans="1:2" ht="16.5">
      <c r="A797" s="29"/>
      <c r="B797" s="29"/>
    </row>
    <row r="798" spans="1:2" ht="16.5">
      <c r="A798" s="29"/>
      <c r="B798" s="29"/>
    </row>
    <row r="799" spans="1:2" ht="16.5">
      <c r="A799" s="29"/>
      <c r="B799" s="29"/>
    </row>
    <row r="800" spans="1:2" ht="16.5">
      <c r="A800" s="29"/>
      <c r="B800" s="29"/>
    </row>
    <row r="801" spans="1:2" ht="16.5">
      <c r="A801" s="29"/>
      <c r="B801" s="29"/>
    </row>
    <row r="802" spans="1:2" ht="16.5">
      <c r="A802" s="29"/>
      <c r="B802" s="29"/>
    </row>
    <row r="803" spans="1:2" ht="16.5">
      <c r="A803" s="29"/>
      <c r="B803" s="29"/>
    </row>
    <row r="804" spans="1:2" ht="16.5">
      <c r="A804" s="29"/>
      <c r="B804" s="29"/>
    </row>
    <row r="805" spans="1:2" ht="16.5">
      <c r="A805" s="29"/>
      <c r="B805" s="29"/>
    </row>
    <row r="806" spans="1:2" ht="16.5">
      <c r="A806" s="29"/>
      <c r="B806" s="29"/>
    </row>
    <row r="807" spans="1:2" ht="16.5">
      <c r="A807" s="29"/>
      <c r="B807" s="29"/>
    </row>
    <row r="808" spans="1:2" ht="16.5">
      <c r="A808" s="29"/>
      <c r="B808" s="29"/>
    </row>
    <row r="809" spans="1:2" ht="16.5">
      <c r="A809" s="29"/>
      <c r="B809" s="29"/>
    </row>
    <row r="810" spans="1:2" ht="16.5">
      <c r="A810" s="29"/>
      <c r="B810" s="29"/>
    </row>
    <row r="811" spans="1:2" ht="16.5">
      <c r="A811" s="29"/>
      <c r="B811" s="29"/>
    </row>
    <row r="812" spans="1:2" ht="16.5">
      <c r="A812" s="29"/>
      <c r="B812" s="29"/>
    </row>
    <row r="813" spans="1:2" ht="16.5">
      <c r="A813" s="29"/>
      <c r="B813" s="29"/>
    </row>
    <row r="814" spans="1:2" ht="16.5">
      <c r="A814" s="29"/>
      <c r="B814" s="29"/>
    </row>
    <row r="815" spans="1:2" ht="16.5">
      <c r="A815" s="29"/>
      <c r="B815" s="29"/>
    </row>
    <row r="816" spans="1:2" ht="16.5">
      <c r="A816" s="29"/>
      <c r="B816" s="29"/>
    </row>
    <row r="817" spans="1:2" ht="16.5">
      <c r="A817" s="29"/>
      <c r="B817" s="29"/>
    </row>
    <row r="818" spans="1:2" ht="16.5">
      <c r="A818" s="29"/>
      <c r="B818" s="29"/>
    </row>
    <row r="819" spans="1:2" ht="16.5">
      <c r="A819" s="29"/>
      <c r="B819" s="29"/>
    </row>
    <row r="820" spans="1:2" ht="16.5">
      <c r="A820" s="29"/>
      <c r="B820" s="29"/>
    </row>
    <row r="821" spans="1:2" ht="16.5">
      <c r="A821" s="29"/>
      <c r="B821" s="29"/>
    </row>
    <row r="822" spans="1:2" ht="16.5">
      <c r="A822" s="29"/>
      <c r="B822" s="29"/>
    </row>
    <row r="823" spans="1:2" ht="16.5">
      <c r="A823" s="29"/>
      <c r="B823" s="29"/>
    </row>
    <row r="824" spans="1:2" ht="16.5">
      <c r="A824" s="29"/>
      <c r="B824" s="29"/>
    </row>
    <row r="825" spans="1:2" ht="16.5">
      <c r="A825" s="29"/>
      <c r="B825" s="29"/>
    </row>
    <row r="826" spans="1:2" ht="16.5">
      <c r="A826" s="29"/>
      <c r="B826" s="29"/>
    </row>
    <row r="827" spans="1:2" ht="16.5">
      <c r="A827" s="29"/>
      <c r="B827" s="29"/>
    </row>
    <row r="828" spans="1:2" ht="16.5">
      <c r="A828" s="29"/>
      <c r="B828" s="29"/>
    </row>
    <row r="829" spans="1:2" ht="16.5">
      <c r="A829" s="29"/>
      <c r="B829" s="29"/>
    </row>
    <row r="830" spans="1:2" ht="16.5">
      <c r="A830" s="29"/>
      <c r="B830" s="29"/>
    </row>
    <row r="831" spans="1:2" ht="16.5">
      <c r="A831" s="29"/>
      <c r="B831" s="29"/>
    </row>
    <row r="832" spans="1:2" ht="16.5">
      <c r="A832" s="29"/>
      <c r="B832" s="29"/>
    </row>
    <row r="833" spans="1:2" ht="16.5">
      <c r="A833" s="29"/>
      <c r="B833" s="29"/>
    </row>
    <row r="834" spans="1:2" ht="16.5">
      <c r="A834" s="29"/>
      <c r="B834" s="29"/>
    </row>
    <row r="835" spans="1:2" ht="16.5">
      <c r="A835" s="29"/>
      <c r="B835" s="29"/>
    </row>
    <row r="836" spans="1:2" ht="16.5">
      <c r="A836" s="29"/>
      <c r="B836" s="29"/>
    </row>
    <row r="837" spans="1:2" ht="16.5">
      <c r="A837" s="29"/>
      <c r="B837" s="29"/>
    </row>
    <row r="838" spans="1:2" ht="16.5">
      <c r="A838" s="29"/>
      <c r="B838" s="29"/>
    </row>
    <row r="839" spans="1:2" ht="16.5">
      <c r="A839" s="29"/>
      <c r="B839" s="29"/>
    </row>
    <row r="840" spans="1:2" ht="16.5">
      <c r="A840" s="29"/>
      <c r="B840" s="29"/>
    </row>
    <row r="841" spans="1:2" ht="16.5">
      <c r="A841" s="29"/>
      <c r="B841" s="29"/>
    </row>
    <row r="842" spans="1:2" ht="16.5">
      <c r="A842" s="29"/>
      <c r="B842" s="29"/>
    </row>
    <row r="843" spans="1:2" ht="16.5">
      <c r="A843" s="29"/>
      <c r="B843" s="29"/>
    </row>
    <row r="844" spans="1:2" ht="16.5">
      <c r="A844" s="29"/>
      <c r="B844" s="29"/>
    </row>
    <row r="845" spans="1:2" ht="16.5">
      <c r="A845" s="29"/>
      <c r="B845" s="29"/>
    </row>
    <row r="846" spans="1:2" ht="16.5">
      <c r="A846" s="29"/>
      <c r="B846" s="29"/>
    </row>
    <row r="847" spans="1:2" ht="16.5">
      <c r="A847" s="29"/>
      <c r="B847" s="29"/>
    </row>
    <row r="848" spans="1:2" ht="16.5">
      <c r="A848" s="29"/>
      <c r="B848" s="29"/>
    </row>
    <row r="849" spans="1:2" ht="16.5">
      <c r="A849" s="29"/>
      <c r="B849" s="29"/>
    </row>
    <row r="850" spans="1:2" ht="16.5">
      <c r="A850" s="29"/>
      <c r="B850" s="29"/>
    </row>
    <row r="851" spans="1:2" ht="16.5">
      <c r="A851" s="29"/>
      <c r="B851" s="29"/>
    </row>
    <row r="852" spans="1:2" ht="16.5">
      <c r="A852" s="29"/>
      <c r="B852" s="29"/>
    </row>
    <row r="853" spans="1:2" ht="16.5">
      <c r="A853" s="29"/>
      <c r="B853" s="29"/>
    </row>
    <row r="854" spans="1:2" ht="16.5">
      <c r="A854" s="29"/>
      <c r="B854" s="29"/>
    </row>
    <row r="855" spans="1:2" ht="16.5">
      <c r="A855" s="29"/>
      <c r="B855" s="29"/>
    </row>
    <row r="856" spans="1:2" ht="16.5">
      <c r="A856" s="29"/>
      <c r="B856" s="29"/>
    </row>
    <row r="857" spans="1:2" ht="16.5">
      <c r="A857" s="29"/>
      <c r="B857" s="29"/>
    </row>
    <row r="858" spans="1:2" ht="16.5">
      <c r="A858" s="29"/>
      <c r="B858" s="29"/>
    </row>
    <row r="859" spans="1:2" ht="16.5">
      <c r="A859" s="29"/>
      <c r="B859" s="29"/>
    </row>
    <row r="860" spans="1:2" ht="16.5">
      <c r="A860" s="29"/>
      <c r="B860" s="29"/>
    </row>
    <row r="861" spans="1:2" ht="16.5">
      <c r="A861" s="29"/>
      <c r="B861" s="29"/>
    </row>
    <row r="862" spans="1:2" ht="16.5">
      <c r="A862" s="29"/>
      <c r="B862" s="29"/>
    </row>
    <row r="863" spans="1:2" ht="16.5">
      <c r="A863" s="29"/>
      <c r="B863" s="29"/>
    </row>
    <row r="864" spans="1:2" ht="16.5">
      <c r="A864" s="29"/>
      <c r="B864" s="29"/>
    </row>
    <row r="865" spans="1:2" ht="16.5">
      <c r="A865" s="29"/>
      <c r="B865" s="29"/>
    </row>
    <row r="866" spans="1:2" ht="16.5">
      <c r="A866" s="29"/>
      <c r="B866" s="29"/>
    </row>
    <row r="867" spans="1:2" ht="16.5">
      <c r="A867" s="29"/>
      <c r="B867" s="29"/>
    </row>
    <row r="868" spans="1:2" ht="16.5">
      <c r="A868" s="29"/>
      <c r="B868" s="29"/>
    </row>
    <row r="869" spans="1:2" ht="16.5">
      <c r="A869" s="29"/>
      <c r="B869" s="29"/>
    </row>
    <row r="870" spans="1:2" ht="16.5">
      <c r="A870" s="29"/>
      <c r="B870" s="29"/>
    </row>
    <row r="871" spans="1:2" ht="16.5">
      <c r="A871" s="29"/>
      <c r="B871" s="29"/>
    </row>
    <row r="872" spans="1:2" ht="16.5">
      <c r="A872" s="29"/>
      <c r="B872" s="29"/>
    </row>
    <row r="873" spans="1:2" ht="16.5">
      <c r="A873" s="29"/>
      <c r="B873" s="29"/>
    </row>
    <row r="874" spans="1:2" ht="16.5">
      <c r="A874" s="29"/>
      <c r="B874" s="29"/>
    </row>
    <row r="875" spans="1:2" ht="16.5">
      <c r="A875" s="29"/>
      <c r="B875" s="29"/>
    </row>
    <row r="876" spans="1:2" ht="16.5">
      <c r="A876" s="29"/>
      <c r="B876" s="29"/>
    </row>
    <row r="877" spans="1:2" ht="16.5">
      <c r="A877" s="29"/>
      <c r="B877" s="29"/>
    </row>
    <row r="878" spans="1:2" ht="16.5">
      <c r="A878" s="29"/>
      <c r="B878" s="29"/>
    </row>
    <row r="879" spans="1:2" ht="16.5">
      <c r="A879" s="29"/>
      <c r="B879" s="29"/>
    </row>
    <row r="880" spans="1:2" ht="16.5">
      <c r="A880" s="29"/>
      <c r="B880" s="29"/>
    </row>
    <row r="881" spans="1:2" ht="16.5">
      <c r="A881" s="29"/>
      <c r="B881" s="29"/>
    </row>
    <row r="882" spans="1:2" ht="16.5">
      <c r="A882" s="29"/>
      <c r="B882" s="29"/>
    </row>
    <row r="883" spans="1:2" ht="16.5">
      <c r="A883" s="29"/>
      <c r="B883" s="29"/>
    </row>
    <row r="884" spans="1:2" ht="16.5">
      <c r="A884" s="29"/>
      <c r="B884" s="29"/>
    </row>
    <row r="885" spans="1:2" ht="16.5">
      <c r="A885" s="29"/>
      <c r="B885" s="29"/>
    </row>
    <row r="886" spans="1:2" ht="16.5">
      <c r="A886" s="29"/>
      <c r="B886" s="29"/>
    </row>
    <row r="887" spans="1:2" ht="16.5">
      <c r="A887" s="29"/>
      <c r="B887" s="29"/>
    </row>
    <row r="888" spans="1:2" ht="16.5">
      <c r="A888" s="29"/>
      <c r="B888" s="29"/>
    </row>
    <row r="889" spans="1:2" ht="16.5">
      <c r="A889" s="29"/>
      <c r="B889" s="29"/>
    </row>
    <row r="890" spans="1:2" ht="16.5">
      <c r="A890" s="29"/>
      <c r="B890" s="29"/>
    </row>
    <row r="891" spans="1:2" ht="16.5">
      <c r="A891" s="29"/>
      <c r="B891" s="29"/>
    </row>
    <row r="892" spans="1:2" ht="16.5">
      <c r="A892" s="29"/>
      <c r="B892" s="29"/>
    </row>
    <row r="893" spans="1:2" ht="16.5">
      <c r="A893" s="29"/>
      <c r="B893" s="29"/>
    </row>
    <row r="894" spans="1:2" ht="16.5">
      <c r="A894" s="29"/>
      <c r="B894" s="29"/>
    </row>
    <row r="895" spans="1:2" ht="16.5">
      <c r="A895" s="29"/>
      <c r="B895" s="29"/>
    </row>
    <row r="896" spans="1:2" ht="16.5">
      <c r="A896" s="29"/>
      <c r="B896" s="29"/>
    </row>
    <row r="897" spans="1:2" ht="16.5">
      <c r="A897" s="29"/>
      <c r="B897" s="29"/>
    </row>
    <row r="898" spans="1:2" ht="16.5">
      <c r="A898" s="29"/>
      <c r="B898" s="29"/>
    </row>
    <row r="899" spans="1:2" ht="16.5">
      <c r="A899" s="29"/>
      <c r="B899" s="29"/>
    </row>
    <row r="900" spans="1:2" ht="16.5">
      <c r="A900" s="29"/>
      <c r="B900" s="29"/>
    </row>
    <row r="901" spans="1:2" ht="16.5">
      <c r="A901" s="29"/>
      <c r="B901" s="29"/>
    </row>
    <row r="902" spans="1:2" ht="16.5">
      <c r="A902" s="29"/>
      <c r="B902" s="29"/>
    </row>
    <row r="903" spans="1:2" ht="16.5">
      <c r="A903" s="29"/>
      <c r="B903" s="29"/>
    </row>
    <row r="904" spans="1:2" ht="16.5">
      <c r="A904" s="29"/>
      <c r="B904" s="29"/>
    </row>
    <row r="905" spans="1:2" ht="16.5">
      <c r="A905" s="29"/>
      <c r="B905" s="29"/>
    </row>
    <row r="906" spans="1:2" ht="16.5">
      <c r="A906" s="29"/>
      <c r="B906" s="29"/>
    </row>
    <row r="907" spans="1:2" ht="16.5">
      <c r="A907" s="29"/>
      <c r="B907" s="29"/>
    </row>
    <row r="908" spans="1:2" ht="16.5">
      <c r="A908" s="29"/>
      <c r="B908" s="29"/>
    </row>
    <row r="909" spans="1:2" ht="16.5">
      <c r="A909" s="29"/>
      <c r="B909" s="29"/>
    </row>
    <row r="910" spans="1:2" ht="16.5">
      <c r="A910" s="29"/>
      <c r="B910" s="29"/>
    </row>
    <row r="911" spans="1:2" ht="16.5">
      <c r="A911" s="29"/>
      <c r="B911" s="29"/>
    </row>
    <row r="912" spans="1:2" ht="16.5">
      <c r="A912" s="29"/>
      <c r="B912" s="29"/>
    </row>
    <row r="913" spans="1:2" ht="16.5">
      <c r="A913" s="29"/>
      <c r="B913" s="29"/>
    </row>
    <row r="914" spans="1:2" ht="16.5">
      <c r="A914" s="29"/>
      <c r="B914" s="29"/>
    </row>
    <row r="915" spans="1:2" ht="16.5">
      <c r="A915" s="29"/>
      <c r="B915" s="29"/>
    </row>
    <row r="916" spans="1:2" ht="16.5">
      <c r="A916" s="29"/>
      <c r="B916" s="29"/>
    </row>
    <row r="917" spans="1:2" ht="16.5">
      <c r="A917" s="29"/>
      <c r="B917" s="29"/>
    </row>
    <row r="918" spans="1:2" ht="16.5">
      <c r="A918" s="29"/>
      <c r="B918" s="29"/>
    </row>
    <row r="919" spans="1:2" ht="16.5">
      <c r="A919" s="29"/>
      <c r="B919" s="29"/>
    </row>
    <row r="920" spans="1:2" ht="16.5">
      <c r="A920" s="29"/>
      <c r="B920" s="29"/>
    </row>
    <row r="921" spans="1:2" ht="16.5">
      <c r="A921" s="29"/>
      <c r="B921" s="29"/>
    </row>
    <row r="922" spans="1:2" ht="16.5">
      <c r="A922" s="29"/>
      <c r="B922" s="29"/>
    </row>
    <row r="923" spans="1:2" ht="16.5">
      <c r="A923" s="29"/>
      <c r="B923" s="29"/>
    </row>
    <row r="924" spans="1:2" ht="16.5">
      <c r="A924" s="29"/>
      <c r="B924" s="29"/>
    </row>
    <row r="925" spans="1:2" ht="16.5">
      <c r="A925" s="29"/>
      <c r="B925" s="29"/>
    </row>
    <row r="926" spans="1:2" ht="16.5">
      <c r="A926" s="29"/>
      <c r="B926" s="29"/>
    </row>
    <row r="927" spans="1:2" ht="16.5">
      <c r="A927" s="29"/>
      <c r="B927" s="29"/>
    </row>
    <row r="928" spans="1:2" ht="16.5">
      <c r="A928" s="29"/>
      <c r="B928" s="29"/>
    </row>
    <row r="929" spans="1:2" ht="16.5">
      <c r="A929" s="29"/>
      <c r="B929" s="29"/>
    </row>
    <row r="930" spans="1:2" ht="16.5">
      <c r="A930" s="29"/>
      <c r="B930" s="29"/>
    </row>
    <row r="931" spans="1:2" ht="16.5">
      <c r="A931" s="29"/>
      <c r="B931" s="29"/>
    </row>
    <row r="932" spans="1:2" ht="16.5">
      <c r="A932" s="29"/>
      <c r="B932" s="29"/>
    </row>
    <row r="933" spans="1:2" ht="16.5">
      <c r="A933" s="29"/>
      <c r="B933" s="29"/>
    </row>
    <row r="934" spans="1:2" ht="16.5">
      <c r="A934" s="29"/>
      <c r="B934" s="29"/>
    </row>
    <row r="935" spans="1:2" ht="16.5">
      <c r="A935" s="29"/>
      <c r="B935" s="29"/>
    </row>
    <row r="936" spans="1:2" ht="16.5">
      <c r="A936" s="29"/>
      <c r="B936" s="29"/>
    </row>
    <row r="937" spans="1:2" ht="16.5">
      <c r="A937" s="29"/>
      <c r="B937" s="29"/>
    </row>
    <row r="938" spans="1:2" ht="16.5">
      <c r="A938" s="29"/>
      <c r="B938" s="29"/>
    </row>
    <row r="939" spans="1:2" ht="16.5">
      <c r="A939" s="29"/>
      <c r="B939" s="29"/>
    </row>
    <row r="940" spans="1:2" ht="16.5">
      <c r="A940" s="29"/>
      <c r="B940" s="29"/>
    </row>
    <row r="941" spans="1:2" ht="16.5">
      <c r="A941" s="29"/>
      <c r="B941" s="29"/>
    </row>
    <row r="942" spans="1:2" ht="16.5">
      <c r="A942" s="29"/>
      <c r="B942" s="29"/>
    </row>
    <row r="943" spans="1:2" ht="16.5">
      <c r="A943" s="29"/>
      <c r="B943" s="29"/>
    </row>
    <row r="944" spans="1:2" ht="16.5">
      <c r="A944" s="29"/>
      <c r="B944" s="29"/>
    </row>
    <row r="945" spans="1:2" ht="16.5">
      <c r="A945" s="29"/>
      <c r="B945" s="29"/>
    </row>
    <row r="946" spans="1:2" ht="16.5">
      <c r="A946" s="29"/>
      <c r="B946" s="29"/>
    </row>
    <row r="947" spans="1:2" ht="16.5">
      <c r="A947" s="29"/>
      <c r="B947" s="29"/>
    </row>
    <row r="948" spans="1:2" ht="16.5">
      <c r="A948" s="29"/>
      <c r="B948" s="29"/>
    </row>
    <row r="949" spans="1:2" ht="16.5">
      <c r="A949" s="29"/>
      <c r="B949" s="29"/>
    </row>
    <row r="950" spans="1:2" ht="16.5">
      <c r="A950" s="29"/>
      <c r="B950" s="29"/>
    </row>
    <row r="951" spans="1:2" ht="16.5">
      <c r="A951" s="29"/>
      <c r="B951" s="29"/>
    </row>
    <row r="952" spans="1:2" ht="16.5">
      <c r="A952" s="29"/>
      <c r="B952" s="29"/>
    </row>
    <row r="953" spans="1:2" ht="16.5">
      <c r="A953" s="29"/>
      <c r="B953" s="29"/>
    </row>
    <row r="954" spans="1:2" ht="16.5">
      <c r="A954" s="29"/>
      <c r="B954" s="29"/>
    </row>
    <row r="955" spans="1:2" ht="16.5">
      <c r="A955" s="29"/>
      <c r="B955" s="29"/>
    </row>
    <row r="956" spans="1:2" ht="16.5">
      <c r="A956" s="29"/>
      <c r="B956" s="29"/>
    </row>
    <row r="957" spans="1:2" ht="16.5">
      <c r="A957" s="29"/>
      <c r="B957" s="29"/>
    </row>
    <row r="958" spans="1:2" ht="16.5">
      <c r="A958" s="29"/>
      <c r="B958" s="29"/>
    </row>
    <row r="959" spans="1:2" ht="16.5">
      <c r="A959" s="29"/>
      <c r="B959" s="29"/>
    </row>
    <row r="960" spans="1:2" ht="16.5">
      <c r="A960" s="29"/>
      <c r="B960" s="29"/>
    </row>
    <row r="961" spans="1:2" ht="16.5">
      <c r="A961" s="29"/>
      <c r="B961" s="29"/>
    </row>
    <row r="962" spans="1:2" ht="16.5">
      <c r="A962" s="29"/>
      <c r="B962" s="29"/>
    </row>
    <row r="963" spans="1:2" ht="16.5">
      <c r="A963" s="29"/>
      <c r="B963" s="29"/>
    </row>
    <row r="964" spans="1:2" ht="16.5">
      <c r="A964" s="29"/>
      <c r="B964" s="29"/>
    </row>
    <row r="965" spans="1:2" ht="16.5">
      <c r="A965" s="29"/>
      <c r="B965" s="29"/>
    </row>
    <row r="966" spans="1:2" ht="16.5">
      <c r="A966" s="29"/>
      <c r="B966" s="29"/>
    </row>
    <row r="967" spans="1:2" ht="16.5">
      <c r="A967" s="29"/>
      <c r="B967" s="29"/>
    </row>
    <row r="968" spans="1:2" ht="16.5">
      <c r="A968" s="29"/>
      <c r="B968" s="29"/>
    </row>
    <row r="969" spans="1:2" ht="16.5">
      <c r="A969" s="29"/>
      <c r="B969" s="29"/>
    </row>
    <row r="970" spans="1:2" ht="16.5">
      <c r="A970" s="29"/>
      <c r="B970" s="29"/>
    </row>
    <row r="971" spans="1:2" ht="16.5">
      <c r="A971" s="29"/>
      <c r="B971" s="29"/>
    </row>
    <row r="972" spans="1:2" ht="16.5">
      <c r="A972" s="29"/>
      <c r="B972" s="29"/>
    </row>
    <row r="973" spans="1:2" ht="16.5">
      <c r="A973" s="29"/>
      <c r="B973" s="29"/>
    </row>
    <row r="974" spans="1:2" ht="16.5">
      <c r="A974" s="29"/>
      <c r="B974" s="29"/>
    </row>
    <row r="975" spans="1:2" ht="16.5">
      <c r="A975" s="29"/>
      <c r="B975" s="29"/>
    </row>
    <row r="976" spans="1:2" ht="16.5">
      <c r="A976" s="29"/>
      <c r="B976" s="29"/>
    </row>
    <row r="977" spans="1:2" ht="16.5">
      <c r="A977" s="29"/>
      <c r="B977" s="29"/>
    </row>
    <row r="978" spans="1:2" ht="16.5">
      <c r="A978" s="29"/>
      <c r="B978" s="29"/>
    </row>
    <row r="979" spans="1:2" ht="16.5">
      <c r="A979" s="29"/>
      <c r="B979" s="29"/>
    </row>
    <row r="980" spans="1:2" ht="16.5">
      <c r="A980" s="29"/>
      <c r="B980" s="29"/>
    </row>
    <row r="981" spans="1:2" ht="16.5">
      <c r="A981" s="29"/>
      <c r="B981" s="29"/>
    </row>
    <row r="982" spans="1:2" ht="16.5">
      <c r="A982" s="29"/>
      <c r="B982" s="29"/>
    </row>
    <row r="983" spans="1:2" ht="16.5">
      <c r="A983" s="29"/>
      <c r="B983" s="29"/>
    </row>
    <row r="984" spans="1:2" ht="16.5">
      <c r="A984" s="29"/>
      <c r="B984" s="29"/>
    </row>
    <row r="985" spans="1:2" ht="16.5">
      <c r="A985" s="29"/>
      <c r="B985" s="29"/>
    </row>
    <row r="986" spans="1:2" ht="16.5">
      <c r="A986" s="29"/>
      <c r="B986" s="29"/>
    </row>
    <row r="987" spans="1:2" ht="16.5">
      <c r="A987" s="29"/>
      <c r="B987" s="29"/>
    </row>
    <row r="988" spans="1:2" ht="16.5">
      <c r="A988" s="29"/>
      <c r="B988" s="29"/>
    </row>
    <row r="989" spans="1:2" ht="16.5">
      <c r="A989" s="29"/>
      <c r="B989" s="29"/>
    </row>
    <row r="990" spans="1:2" ht="16.5">
      <c r="A990" s="29"/>
      <c r="B990" s="29"/>
    </row>
    <row r="991" spans="1:2" ht="16.5">
      <c r="A991" s="29"/>
      <c r="B991" s="29"/>
    </row>
    <row r="992" spans="1:2" ht="16.5">
      <c r="A992" s="29"/>
      <c r="B992" s="29"/>
    </row>
    <row r="993" spans="1:2" ht="16.5">
      <c r="A993" s="29"/>
      <c r="B993" s="29"/>
    </row>
    <row r="994" spans="1:2" ht="16.5">
      <c r="A994" s="29"/>
      <c r="B994" s="29"/>
    </row>
    <row r="995" spans="1:2" ht="16.5">
      <c r="A995" s="29"/>
      <c r="B995" s="29"/>
    </row>
    <row r="996" spans="1:2" ht="16.5">
      <c r="A996" s="29"/>
      <c r="B996" s="29"/>
    </row>
    <row r="997" spans="1:2" ht="16.5">
      <c r="A997" s="29"/>
      <c r="B997" s="29"/>
    </row>
    <row r="998" spans="1:2" ht="16.5">
      <c r="A998" s="29"/>
      <c r="B998" s="29"/>
    </row>
    <row r="999" spans="1:2" ht="16.5">
      <c r="A999" s="29"/>
      <c r="B999" s="29"/>
    </row>
    <row r="1000" spans="1:2" ht="16.5">
      <c r="A1000" s="29"/>
      <c r="B1000" s="29"/>
    </row>
    <row r="1001" spans="1:2" ht="16.5">
      <c r="A1001" s="29"/>
      <c r="B1001" s="29"/>
    </row>
    <row r="1002" spans="1:2" ht="16.5">
      <c r="A1002" s="29"/>
      <c r="B1002" s="29"/>
    </row>
    <row r="1003" spans="1:2" ht="16.5">
      <c r="A1003" s="29"/>
      <c r="B1003" s="29"/>
    </row>
    <row r="1004" spans="1:2" ht="16.5">
      <c r="A1004" s="29"/>
      <c r="B1004" s="29"/>
    </row>
  </sheetData>
  <hyperlinks>
    <hyperlink ref="B62" r:id="rId1"/>
    <hyperlink ref="B63" r:id="rId2"/>
  </hyperlink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7"/>
  <dimension ref="A1:Z1012"/>
  <sheetViews>
    <sheetView topLeftCell="B2" workbookViewId="0">
      <selection activeCell="C19" sqref="C19"/>
    </sheetView>
  </sheetViews>
  <sheetFormatPr defaultColWidth="14.42578125" defaultRowHeight="15" customHeight="1"/>
  <cols>
    <col min="1" max="1" width="41.42578125" style="28" customWidth="1"/>
    <col min="2" max="2" width="62" style="28" customWidth="1"/>
    <col min="3" max="3" width="78" style="28" customWidth="1"/>
    <col min="4" max="26" width="8.7109375" style="28" customWidth="1"/>
    <col min="27" max="16384" width="14.42578125" style="28"/>
  </cols>
  <sheetData>
    <row r="1" spans="1:26" ht="13.5" customHeight="1">
      <c r="A1" s="58" t="s">
        <v>192</v>
      </c>
      <c r="B1" s="32"/>
      <c r="C1" s="32"/>
      <c r="D1" s="32"/>
      <c r="E1" s="32"/>
      <c r="F1" s="32"/>
      <c r="G1" s="32"/>
      <c r="H1" s="32"/>
      <c r="I1" s="32"/>
      <c r="J1" s="32"/>
      <c r="K1" s="32"/>
      <c r="L1" s="32"/>
      <c r="M1" s="32"/>
      <c r="N1" s="32"/>
      <c r="O1" s="32"/>
      <c r="P1" s="32"/>
      <c r="Q1" s="32"/>
      <c r="R1" s="32"/>
      <c r="S1" s="32"/>
      <c r="T1" s="32"/>
      <c r="U1" s="32"/>
      <c r="V1" s="32"/>
      <c r="W1" s="32"/>
      <c r="X1" s="32"/>
      <c r="Y1" s="32"/>
      <c r="Z1" s="32"/>
    </row>
    <row r="2" spans="1:26" ht="13.5" customHeight="1" thickBot="1">
      <c r="A2" s="32"/>
      <c r="B2" s="32"/>
      <c r="C2" s="32"/>
      <c r="D2" s="32"/>
      <c r="E2" s="32"/>
      <c r="F2" s="32"/>
      <c r="G2" s="32"/>
      <c r="H2" s="32"/>
      <c r="I2" s="32"/>
      <c r="J2" s="32"/>
      <c r="K2" s="32"/>
      <c r="L2" s="32"/>
      <c r="M2" s="32"/>
      <c r="N2" s="32"/>
      <c r="O2" s="32"/>
      <c r="P2" s="32"/>
      <c r="Q2" s="32"/>
      <c r="R2" s="32"/>
      <c r="S2" s="32"/>
      <c r="T2" s="32"/>
      <c r="U2" s="32"/>
      <c r="V2" s="32"/>
      <c r="W2" s="32"/>
      <c r="X2" s="32"/>
      <c r="Y2" s="32"/>
      <c r="Z2" s="32"/>
    </row>
    <row r="3" spans="1:26" ht="13.5" customHeight="1" thickBot="1">
      <c r="A3" s="57" t="s">
        <v>191</v>
      </c>
      <c r="B3" s="56" t="s">
        <v>190</v>
      </c>
      <c r="C3" s="32"/>
      <c r="D3" s="32"/>
      <c r="E3" s="32"/>
      <c r="F3" s="32"/>
      <c r="G3" s="32"/>
      <c r="H3" s="32"/>
      <c r="I3" s="32"/>
      <c r="J3" s="32"/>
      <c r="K3" s="32"/>
      <c r="L3" s="32"/>
      <c r="M3" s="32"/>
      <c r="N3" s="32"/>
      <c r="O3" s="32"/>
      <c r="P3" s="32"/>
      <c r="Q3" s="32"/>
      <c r="R3" s="32"/>
      <c r="S3" s="32"/>
      <c r="T3" s="32"/>
      <c r="U3" s="32"/>
      <c r="V3" s="32"/>
      <c r="W3" s="32"/>
      <c r="X3" s="32"/>
      <c r="Y3" s="32"/>
      <c r="Z3" s="32"/>
    </row>
    <row r="4" spans="1:26" ht="13.5" customHeight="1" thickBot="1">
      <c r="A4" s="54" t="s">
        <v>172</v>
      </c>
      <c r="B4" s="56" t="s">
        <v>189</v>
      </c>
      <c r="C4" s="32" t="str">
        <f t="shared" ref="C4:C35" si="0">CONCATENATE(A4, " -&gt; ",B4)</f>
        <v>Administrative/Overhead services -&gt; Office of the Medical Center Chief</v>
      </c>
      <c r="D4" s="32"/>
      <c r="E4" s="32"/>
      <c r="F4" s="32"/>
      <c r="G4" s="32"/>
      <c r="H4" s="32"/>
      <c r="I4" s="32"/>
      <c r="J4" s="32"/>
      <c r="K4" s="32"/>
      <c r="L4" s="32"/>
      <c r="M4" s="32"/>
      <c r="N4" s="32"/>
      <c r="O4" s="32"/>
      <c r="P4" s="32"/>
      <c r="Q4" s="32"/>
      <c r="R4" s="32"/>
      <c r="S4" s="32"/>
      <c r="T4" s="32"/>
      <c r="U4" s="32"/>
      <c r="V4" s="32"/>
      <c r="W4" s="32"/>
      <c r="X4" s="32"/>
      <c r="Y4" s="32"/>
      <c r="Z4" s="32"/>
    </row>
    <row r="5" spans="1:26" ht="13.5" customHeight="1" thickBot="1">
      <c r="A5" s="54" t="s">
        <v>172</v>
      </c>
      <c r="B5" s="53" t="s">
        <v>205</v>
      </c>
      <c r="C5" s="32" t="str">
        <f t="shared" si="0"/>
        <v>Administrative/Overhead services -&gt; IT Department</v>
      </c>
      <c r="D5" s="32"/>
      <c r="E5" s="32"/>
      <c r="F5" s="32"/>
      <c r="G5" s="32"/>
      <c r="H5" s="32"/>
      <c r="I5" s="32"/>
      <c r="J5" s="32"/>
      <c r="K5" s="32"/>
      <c r="L5" s="32"/>
      <c r="M5" s="32"/>
      <c r="N5" s="32"/>
      <c r="O5" s="32"/>
      <c r="P5" s="32"/>
      <c r="Q5" s="32"/>
      <c r="R5" s="32"/>
      <c r="S5" s="32"/>
      <c r="T5" s="32"/>
      <c r="U5" s="32"/>
      <c r="V5" s="32"/>
      <c r="W5" s="32"/>
      <c r="X5" s="32"/>
      <c r="Y5" s="32"/>
      <c r="Z5" s="32"/>
    </row>
    <row r="6" spans="1:26" ht="13.5" customHeight="1" thickBot="1">
      <c r="A6" s="54" t="s">
        <v>172</v>
      </c>
      <c r="B6" s="55" t="s">
        <v>187</v>
      </c>
      <c r="C6" s="32" t="str">
        <f t="shared" si="0"/>
        <v>Administrative/Overhead services -&gt; Office of the Administrative Officer</v>
      </c>
      <c r="D6" s="32"/>
      <c r="E6" s="32"/>
      <c r="F6" s="32"/>
      <c r="G6" s="32"/>
      <c r="H6" s="32"/>
      <c r="I6" s="32"/>
      <c r="J6" s="32"/>
      <c r="K6" s="32"/>
      <c r="L6" s="32"/>
      <c r="M6" s="32"/>
      <c r="N6" s="32"/>
      <c r="O6" s="32"/>
      <c r="P6" s="32"/>
      <c r="Q6" s="32"/>
      <c r="R6" s="32"/>
      <c r="S6" s="32"/>
      <c r="T6" s="32"/>
      <c r="U6" s="32"/>
      <c r="V6" s="32"/>
      <c r="W6" s="32"/>
      <c r="X6" s="32"/>
      <c r="Y6" s="32"/>
      <c r="Z6" s="32"/>
    </row>
    <row r="7" spans="1:26" ht="13.5" customHeight="1" thickBot="1">
      <c r="A7" s="54" t="s">
        <v>172</v>
      </c>
      <c r="B7" s="55" t="s">
        <v>186</v>
      </c>
      <c r="C7" s="32" t="str">
        <f t="shared" si="0"/>
        <v>Administrative/Overhead services -&gt; Human Resource Management</v>
      </c>
      <c r="D7" s="32"/>
      <c r="E7" s="32"/>
      <c r="F7" s="32"/>
      <c r="G7" s="32"/>
      <c r="H7" s="32"/>
      <c r="I7" s="32"/>
      <c r="J7" s="32"/>
      <c r="K7" s="32"/>
      <c r="L7" s="32"/>
      <c r="M7" s="32"/>
      <c r="N7" s="32"/>
      <c r="O7" s="32"/>
      <c r="P7" s="32"/>
      <c r="Q7" s="32"/>
      <c r="R7" s="32"/>
      <c r="S7" s="32"/>
      <c r="T7" s="32"/>
      <c r="U7" s="32"/>
      <c r="V7" s="32"/>
      <c r="W7" s="32"/>
      <c r="X7" s="32"/>
      <c r="Y7" s="32"/>
      <c r="Z7" s="32"/>
    </row>
    <row r="8" spans="1:26" ht="13.5" customHeight="1" thickBot="1">
      <c r="A8" s="54" t="s">
        <v>172</v>
      </c>
      <c r="B8" s="55" t="s">
        <v>185</v>
      </c>
      <c r="C8" s="32" t="str">
        <f t="shared" si="0"/>
        <v>Administrative/Overhead services -&gt; Procurement</v>
      </c>
      <c r="D8" s="32"/>
      <c r="E8" s="32"/>
      <c r="F8" s="32"/>
      <c r="G8" s="32"/>
      <c r="H8" s="32"/>
      <c r="I8" s="32"/>
      <c r="J8" s="32"/>
      <c r="K8" s="32"/>
      <c r="L8" s="32"/>
      <c r="M8" s="32"/>
      <c r="N8" s="32"/>
      <c r="O8" s="32"/>
      <c r="P8" s="32"/>
      <c r="Q8" s="32"/>
      <c r="R8" s="32"/>
      <c r="S8" s="32"/>
      <c r="T8" s="32"/>
      <c r="U8" s="32"/>
      <c r="V8" s="32"/>
      <c r="W8" s="32"/>
      <c r="X8" s="32"/>
      <c r="Y8" s="32"/>
      <c r="Z8" s="32"/>
    </row>
    <row r="9" spans="1:26" ht="13.5" customHeight="1" thickBot="1">
      <c r="A9" s="54" t="s">
        <v>172</v>
      </c>
      <c r="B9" s="55" t="s">
        <v>184</v>
      </c>
      <c r="C9" s="32" t="str">
        <f t="shared" si="0"/>
        <v>Administrative/Overhead services -&gt; Materials Management</v>
      </c>
      <c r="D9" s="32"/>
      <c r="E9" s="32"/>
      <c r="F9" s="32"/>
      <c r="G9" s="32"/>
      <c r="H9" s="32"/>
      <c r="I9" s="32"/>
      <c r="J9" s="32"/>
      <c r="K9" s="32"/>
      <c r="L9" s="32"/>
      <c r="M9" s="32"/>
      <c r="N9" s="32"/>
      <c r="O9" s="32"/>
      <c r="P9" s="32"/>
      <c r="Q9" s="32"/>
      <c r="R9" s="32"/>
      <c r="S9" s="32"/>
      <c r="T9" s="32"/>
      <c r="U9" s="32"/>
      <c r="V9" s="32"/>
      <c r="W9" s="32"/>
      <c r="X9" s="32"/>
      <c r="Y9" s="32"/>
      <c r="Z9" s="32"/>
    </row>
    <row r="10" spans="1:26" ht="13.5" customHeight="1" thickBot="1">
      <c r="A10" s="54" t="s">
        <v>172</v>
      </c>
      <c r="B10" s="55" t="s">
        <v>183</v>
      </c>
      <c r="C10" s="32" t="str">
        <f t="shared" si="0"/>
        <v>Administrative/Overhead services -&gt; Engineering and Facilities Management</v>
      </c>
      <c r="D10" s="32"/>
      <c r="E10" s="32"/>
      <c r="F10" s="32"/>
      <c r="G10" s="32"/>
      <c r="H10" s="32"/>
      <c r="I10" s="32"/>
      <c r="J10" s="32"/>
      <c r="K10" s="32"/>
      <c r="L10" s="32"/>
      <c r="M10" s="32"/>
      <c r="N10" s="32"/>
      <c r="O10" s="32"/>
      <c r="P10" s="32"/>
      <c r="Q10" s="32"/>
      <c r="R10" s="32"/>
      <c r="S10" s="32"/>
      <c r="T10" s="32"/>
      <c r="U10" s="32"/>
      <c r="V10" s="32"/>
      <c r="W10" s="32"/>
      <c r="X10" s="32"/>
      <c r="Y10" s="32"/>
      <c r="Z10" s="32"/>
    </row>
    <row r="11" spans="1:26" ht="13.5" customHeight="1" thickBot="1">
      <c r="A11" s="54" t="s">
        <v>172</v>
      </c>
      <c r="B11" s="53" t="s">
        <v>204</v>
      </c>
      <c r="C11" s="32" t="str">
        <f t="shared" si="0"/>
        <v xml:space="preserve">Administrative/Overhead services -&gt; Housekeeping </v>
      </c>
      <c r="D11" s="32"/>
      <c r="E11" s="32"/>
      <c r="F11" s="32"/>
      <c r="G11" s="32"/>
      <c r="H11" s="32"/>
      <c r="I11" s="32"/>
      <c r="J11" s="32"/>
      <c r="K11" s="32"/>
      <c r="L11" s="32"/>
      <c r="M11" s="32"/>
      <c r="N11" s="32"/>
      <c r="O11" s="32"/>
      <c r="P11" s="32"/>
      <c r="Q11" s="32"/>
      <c r="R11" s="32"/>
      <c r="S11" s="32"/>
      <c r="T11" s="32"/>
      <c r="U11" s="32"/>
      <c r="V11" s="32"/>
      <c r="W11" s="32"/>
      <c r="X11" s="32"/>
      <c r="Y11" s="32"/>
      <c r="Z11" s="32"/>
    </row>
    <row r="12" spans="1:26" ht="13.5" customHeight="1" thickBot="1">
      <c r="A12" s="54" t="s">
        <v>172</v>
      </c>
      <c r="B12" s="55" t="s">
        <v>181</v>
      </c>
      <c r="C12" s="32" t="str">
        <f t="shared" si="0"/>
        <v>Administrative/Overhead services -&gt; Budget and Accounting</v>
      </c>
      <c r="D12" s="32"/>
      <c r="E12" s="32"/>
      <c r="F12" s="32"/>
      <c r="G12" s="32"/>
      <c r="H12" s="32"/>
      <c r="I12" s="32"/>
      <c r="J12" s="32"/>
      <c r="K12" s="32"/>
      <c r="L12" s="32"/>
      <c r="M12" s="32"/>
      <c r="N12" s="32"/>
      <c r="O12" s="32"/>
      <c r="P12" s="32"/>
      <c r="Q12" s="32"/>
      <c r="R12" s="32"/>
      <c r="S12" s="32"/>
      <c r="T12" s="32"/>
      <c r="U12" s="32"/>
      <c r="V12" s="32"/>
      <c r="W12" s="32"/>
      <c r="X12" s="32"/>
      <c r="Y12" s="32"/>
      <c r="Z12" s="32"/>
    </row>
    <row r="13" spans="1:26" ht="13.5" customHeight="1" thickBot="1">
      <c r="A13" s="54" t="s">
        <v>172</v>
      </c>
      <c r="B13" s="55" t="s">
        <v>180</v>
      </c>
      <c r="C13" s="32" t="str">
        <f t="shared" si="0"/>
        <v>Administrative/Overhead services -&gt; Medical Social Work</v>
      </c>
      <c r="D13" s="32"/>
      <c r="E13" s="32"/>
      <c r="F13" s="32"/>
      <c r="G13" s="32"/>
      <c r="H13" s="32"/>
      <c r="I13" s="32"/>
      <c r="J13" s="32"/>
      <c r="K13" s="32"/>
      <c r="L13" s="32"/>
      <c r="M13" s="32"/>
      <c r="N13" s="32"/>
      <c r="O13" s="32"/>
      <c r="P13" s="32"/>
      <c r="Q13" s="32"/>
      <c r="R13" s="32"/>
      <c r="S13" s="32"/>
      <c r="T13" s="32"/>
      <c r="U13" s="32"/>
      <c r="V13" s="32"/>
      <c r="W13" s="32"/>
      <c r="X13" s="32"/>
      <c r="Y13" s="32"/>
      <c r="Z13" s="32"/>
    </row>
    <row r="14" spans="1:26" ht="13.5" customHeight="1" thickBot="1">
      <c r="A14" s="54" t="s">
        <v>172</v>
      </c>
      <c r="B14" s="55" t="s">
        <v>179</v>
      </c>
      <c r="C14" s="32" t="str">
        <f t="shared" si="0"/>
        <v>Administrative/Overhead services -&gt; Office of the Chief Nurse</v>
      </c>
      <c r="D14" s="32"/>
      <c r="E14" s="32"/>
      <c r="F14" s="32"/>
      <c r="G14" s="32"/>
      <c r="H14" s="32"/>
      <c r="I14" s="32"/>
      <c r="J14" s="32"/>
      <c r="K14" s="32"/>
      <c r="L14" s="32"/>
      <c r="M14" s="32"/>
      <c r="N14" s="32"/>
      <c r="O14" s="32"/>
      <c r="P14" s="32"/>
      <c r="Q14" s="32"/>
      <c r="R14" s="32"/>
      <c r="S14" s="32"/>
      <c r="T14" s="32"/>
      <c r="U14" s="32"/>
      <c r="V14" s="32"/>
      <c r="W14" s="32"/>
      <c r="X14" s="32"/>
      <c r="Y14" s="32"/>
      <c r="Z14" s="32"/>
    </row>
    <row r="15" spans="1:26" ht="13.5" customHeight="1" thickBot="1">
      <c r="A15" s="54" t="s">
        <v>172</v>
      </c>
      <c r="B15" s="55" t="s">
        <v>178</v>
      </c>
      <c r="C15" s="32" t="str">
        <f t="shared" si="0"/>
        <v>Administrative/Overhead services -&gt; Health Info Mgt (Admitting)</v>
      </c>
      <c r="D15" s="32"/>
      <c r="E15" s="32"/>
      <c r="F15" s="32"/>
      <c r="G15" s="32"/>
      <c r="H15" s="32"/>
      <c r="I15" s="32"/>
      <c r="J15" s="32"/>
      <c r="K15" s="32"/>
      <c r="L15" s="32"/>
      <c r="M15" s="32"/>
      <c r="N15" s="32"/>
      <c r="O15" s="32"/>
      <c r="P15" s="32"/>
      <c r="Q15" s="32"/>
      <c r="R15" s="32"/>
      <c r="S15" s="32"/>
      <c r="T15" s="32"/>
      <c r="U15" s="32"/>
      <c r="V15" s="32"/>
      <c r="W15" s="32"/>
      <c r="X15" s="32"/>
      <c r="Y15" s="32"/>
      <c r="Z15" s="32"/>
    </row>
    <row r="16" spans="1:26" ht="13.5" customHeight="1" thickBot="1">
      <c r="A16" s="54" t="s">
        <v>172</v>
      </c>
      <c r="B16" s="55" t="s">
        <v>177</v>
      </c>
      <c r="C16" s="32" t="str">
        <f t="shared" si="0"/>
        <v>Administrative/Overhead services -&gt; Central Supply Office</v>
      </c>
      <c r="D16" s="32"/>
      <c r="E16" s="32"/>
      <c r="F16" s="32"/>
      <c r="G16" s="32"/>
      <c r="H16" s="32"/>
      <c r="I16" s="32"/>
      <c r="J16" s="32"/>
      <c r="K16" s="32"/>
      <c r="L16" s="32"/>
      <c r="M16" s="32"/>
      <c r="N16" s="32"/>
      <c r="O16" s="32"/>
      <c r="P16" s="32"/>
      <c r="Q16" s="32"/>
      <c r="R16" s="32"/>
      <c r="S16" s="32"/>
      <c r="T16" s="32"/>
      <c r="U16" s="32"/>
      <c r="V16" s="32"/>
      <c r="W16" s="32"/>
      <c r="X16" s="32"/>
      <c r="Y16" s="32"/>
      <c r="Z16" s="32"/>
    </row>
    <row r="17" spans="1:26" ht="13.5" customHeight="1" thickBot="1">
      <c r="A17" s="54" t="s">
        <v>172</v>
      </c>
      <c r="B17" s="55" t="s">
        <v>176</v>
      </c>
      <c r="C17" s="32" t="str">
        <f t="shared" si="0"/>
        <v>Administrative/Overhead services -&gt; Billing and Claims</v>
      </c>
      <c r="D17" s="32"/>
      <c r="E17" s="32"/>
      <c r="F17" s="32"/>
      <c r="G17" s="32"/>
      <c r="H17" s="32"/>
      <c r="I17" s="32"/>
      <c r="J17" s="32"/>
      <c r="K17" s="32"/>
      <c r="L17" s="32"/>
      <c r="M17" s="32"/>
      <c r="N17" s="32"/>
      <c r="O17" s="32"/>
      <c r="P17" s="32"/>
      <c r="Q17" s="32"/>
      <c r="R17" s="32"/>
      <c r="S17" s="32"/>
      <c r="T17" s="32"/>
      <c r="U17" s="32"/>
      <c r="V17" s="32"/>
      <c r="W17" s="32"/>
      <c r="X17" s="32"/>
      <c r="Y17" s="32"/>
      <c r="Z17" s="32"/>
    </row>
    <row r="18" spans="1:26" ht="13.5" customHeight="1" thickBot="1">
      <c r="A18" s="54" t="s">
        <v>172</v>
      </c>
      <c r="B18" s="55" t="s">
        <v>175</v>
      </c>
      <c r="C18" s="32" t="str">
        <f t="shared" si="0"/>
        <v>Administrative/Overhead services -&gt; Cash Operations</v>
      </c>
      <c r="D18" s="32"/>
      <c r="E18" s="32"/>
      <c r="F18" s="32"/>
      <c r="G18" s="32"/>
      <c r="H18" s="32"/>
      <c r="I18" s="32"/>
      <c r="J18" s="32"/>
      <c r="K18" s="32"/>
      <c r="L18" s="32"/>
      <c r="M18" s="32"/>
      <c r="N18" s="32"/>
      <c r="O18" s="32"/>
      <c r="P18" s="32"/>
      <c r="Q18" s="32"/>
      <c r="R18" s="32"/>
      <c r="S18" s="32"/>
      <c r="T18" s="32"/>
      <c r="U18" s="32"/>
      <c r="V18" s="32"/>
      <c r="W18" s="32"/>
      <c r="X18" s="32"/>
      <c r="Y18" s="32"/>
      <c r="Z18" s="32"/>
    </row>
    <row r="19" spans="1:26" ht="13.5" customHeight="1" thickBot="1">
      <c r="A19" s="54" t="s">
        <v>172</v>
      </c>
      <c r="B19" s="55" t="s">
        <v>174</v>
      </c>
      <c r="C19" s="32" t="str">
        <f t="shared" si="0"/>
        <v>Administrative/Overhead services -&gt; Security</v>
      </c>
      <c r="D19" s="32"/>
      <c r="E19" s="32"/>
      <c r="F19" s="32"/>
      <c r="G19" s="32"/>
      <c r="H19" s="32"/>
      <c r="I19" s="32"/>
      <c r="J19" s="32"/>
      <c r="K19" s="32"/>
      <c r="L19" s="32"/>
      <c r="M19" s="32"/>
      <c r="N19" s="32"/>
      <c r="O19" s="32"/>
      <c r="P19" s="32"/>
      <c r="Q19" s="32"/>
      <c r="R19" s="32"/>
      <c r="S19" s="32"/>
      <c r="T19" s="32"/>
      <c r="U19" s="32"/>
      <c r="V19" s="32"/>
      <c r="W19" s="32"/>
      <c r="X19" s="32"/>
      <c r="Y19" s="32"/>
      <c r="Z19" s="32"/>
    </row>
    <row r="20" spans="1:26" ht="13.5" customHeight="1" thickBot="1">
      <c r="A20" s="54" t="s">
        <v>172</v>
      </c>
      <c r="B20" s="53" t="s">
        <v>203</v>
      </c>
      <c r="C20" s="32" t="str">
        <f t="shared" si="0"/>
        <v>Administrative/Overhead services -&gt; Office of the Chief of Medical Professional Staff / Chief of Clinics</v>
      </c>
      <c r="D20" s="32"/>
      <c r="E20" s="32"/>
      <c r="F20" s="32"/>
      <c r="G20" s="32"/>
      <c r="H20" s="32"/>
      <c r="I20" s="32"/>
      <c r="J20" s="32"/>
      <c r="K20" s="32"/>
      <c r="L20" s="32"/>
      <c r="M20" s="32"/>
      <c r="N20" s="32"/>
      <c r="O20" s="32"/>
      <c r="P20" s="32"/>
      <c r="Q20" s="32"/>
      <c r="R20" s="32"/>
      <c r="S20" s="32"/>
      <c r="T20" s="32"/>
      <c r="U20" s="32"/>
      <c r="V20" s="32"/>
      <c r="W20" s="32"/>
      <c r="X20" s="32"/>
      <c r="Y20" s="32"/>
      <c r="Z20" s="32"/>
    </row>
    <row r="21" spans="1:26" ht="13.5" customHeight="1" thickBot="1">
      <c r="A21" s="54" t="s">
        <v>172</v>
      </c>
      <c r="B21" s="53" t="s">
        <v>153</v>
      </c>
      <c r="C21" s="32" t="str">
        <f t="shared" si="0"/>
        <v>Administrative/Overhead services -&gt; Others</v>
      </c>
      <c r="D21" s="32"/>
      <c r="E21" s="32"/>
      <c r="F21" s="32"/>
      <c r="G21" s="32"/>
      <c r="H21" s="32"/>
      <c r="I21" s="32"/>
      <c r="J21" s="32"/>
      <c r="K21" s="32"/>
      <c r="L21" s="32"/>
      <c r="M21" s="32"/>
      <c r="N21" s="32"/>
      <c r="O21" s="32"/>
      <c r="P21" s="32"/>
      <c r="Q21" s="32"/>
      <c r="R21" s="32"/>
      <c r="S21" s="32"/>
      <c r="T21" s="32"/>
      <c r="U21" s="32"/>
      <c r="V21" s="32"/>
      <c r="W21" s="32"/>
      <c r="X21" s="32"/>
      <c r="Y21" s="32"/>
      <c r="Z21" s="32"/>
    </row>
    <row r="22" spans="1:26" ht="13.5" customHeight="1" thickBot="1">
      <c r="A22" s="46" t="s">
        <v>154</v>
      </c>
      <c r="B22" s="52" t="s">
        <v>171</v>
      </c>
      <c r="C22" s="32" t="str">
        <f t="shared" si="0"/>
        <v>Ancillary services/Support services -&gt; Laundry</v>
      </c>
      <c r="D22" s="32"/>
      <c r="E22" s="32"/>
      <c r="F22" s="32"/>
      <c r="G22" s="32"/>
      <c r="H22" s="32"/>
      <c r="I22" s="32"/>
      <c r="J22" s="32"/>
      <c r="K22" s="32"/>
      <c r="L22" s="32"/>
      <c r="M22" s="32"/>
      <c r="N22" s="32"/>
      <c r="O22" s="32"/>
      <c r="P22" s="32"/>
      <c r="Q22" s="32"/>
      <c r="R22" s="32"/>
      <c r="S22" s="32"/>
      <c r="T22" s="32"/>
      <c r="U22" s="32"/>
      <c r="V22" s="32"/>
      <c r="W22" s="32"/>
      <c r="X22" s="32"/>
      <c r="Y22" s="32"/>
      <c r="Z22" s="32"/>
    </row>
    <row r="23" spans="1:26" ht="14.25" customHeight="1" thickBot="1">
      <c r="A23" s="46" t="s">
        <v>154</v>
      </c>
      <c r="B23" s="48" t="s">
        <v>170</v>
      </c>
      <c r="C23" s="32" t="str">
        <f t="shared" si="0"/>
        <v>Ancillary services/Support services -&gt; Nutrition and Dietetics</v>
      </c>
      <c r="D23" s="32"/>
      <c r="E23" s="32"/>
      <c r="F23" s="32"/>
      <c r="G23" s="32"/>
      <c r="H23" s="32"/>
      <c r="I23" s="32"/>
      <c r="J23" s="32"/>
      <c r="K23" s="32"/>
      <c r="L23" s="32"/>
      <c r="M23" s="32"/>
      <c r="N23" s="32"/>
      <c r="O23" s="32"/>
      <c r="P23" s="32"/>
      <c r="Q23" s="32"/>
      <c r="R23" s="32"/>
      <c r="S23" s="32"/>
      <c r="T23" s="32"/>
      <c r="U23" s="32"/>
      <c r="V23" s="32"/>
      <c r="W23" s="32"/>
      <c r="X23" s="32"/>
      <c r="Y23" s="32"/>
      <c r="Z23" s="32"/>
    </row>
    <row r="24" spans="1:26" ht="14.25" customHeight="1" thickBot="1">
      <c r="A24" s="46" t="s">
        <v>154</v>
      </c>
      <c r="B24" s="48" t="s">
        <v>169</v>
      </c>
      <c r="C24" s="32" t="str">
        <f t="shared" si="0"/>
        <v>Ancillary services/Support services -&gt; Sterilization</v>
      </c>
      <c r="D24" s="32"/>
      <c r="E24" s="32"/>
      <c r="F24" s="32"/>
      <c r="G24" s="32"/>
      <c r="H24" s="32"/>
      <c r="I24" s="32"/>
      <c r="J24" s="32"/>
      <c r="K24" s="32"/>
      <c r="L24" s="32"/>
      <c r="M24" s="32"/>
      <c r="N24" s="32"/>
      <c r="O24" s="32"/>
      <c r="P24" s="32"/>
      <c r="Q24" s="32"/>
      <c r="R24" s="32"/>
      <c r="S24" s="32"/>
      <c r="T24" s="32"/>
      <c r="U24" s="32"/>
      <c r="V24" s="32"/>
      <c r="W24" s="32"/>
      <c r="X24" s="32"/>
      <c r="Y24" s="32"/>
      <c r="Z24" s="32"/>
    </row>
    <row r="25" spans="1:26" ht="14.25" customHeight="1" thickBot="1">
      <c r="A25" s="46" t="s">
        <v>154</v>
      </c>
      <c r="B25" s="48" t="s">
        <v>168</v>
      </c>
      <c r="C25" s="32" t="str">
        <f t="shared" si="0"/>
        <v>Ancillary services/Support services -&gt; Pharmacy</v>
      </c>
      <c r="D25" s="32"/>
      <c r="E25" s="32"/>
      <c r="F25" s="32"/>
      <c r="G25" s="32"/>
      <c r="H25" s="32"/>
      <c r="I25" s="32"/>
      <c r="J25" s="32"/>
      <c r="K25" s="32"/>
      <c r="L25" s="32"/>
      <c r="M25" s="32"/>
      <c r="N25" s="32"/>
      <c r="O25" s="32"/>
      <c r="P25" s="32"/>
      <c r="Q25" s="32"/>
      <c r="R25" s="32"/>
      <c r="S25" s="32"/>
      <c r="T25" s="32"/>
      <c r="U25" s="32"/>
      <c r="V25" s="32"/>
      <c r="W25" s="32"/>
      <c r="X25" s="32"/>
      <c r="Y25" s="32"/>
      <c r="Z25" s="32"/>
    </row>
    <row r="26" spans="1:26" ht="14.25" customHeight="1" thickBot="1">
      <c r="A26" s="46" t="s">
        <v>154</v>
      </c>
      <c r="B26" s="48" t="s">
        <v>167</v>
      </c>
      <c r="C26" s="32" t="str">
        <f t="shared" si="0"/>
        <v>Ancillary services/Support services -&gt; Blood Bank</v>
      </c>
      <c r="D26" s="32"/>
      <c r="E26" s="32"/>
      <c r="F26" s="32"/>
      <c r="G26" s="32"/>
      <c r="H26" s="32"/>
      <c r="I26" s="32"/>
      <c r="J26" s="32"/>
      <c r="K26" s="32"/>
      <c r="L26" s="32"/>
      <c r="M26" s="32"/>
      <c r="N26" s="32"/>
      <c r="O26" s="32"/>
      <c r="P26" s="32"/>
      <c r="Q26" s="32"/>
      <c r="R26" s="32"/>
      <c r="S26" s="32"/>
      <c r="T26" s="32"/>
      <c r="U26" s="32"/>
      <c r="V26" s="32"/>
      <c r="W26" s="32"/>
      <c r="X26" s="32"/>
      <c r="Y26" s="32"/>
      <c r="Z26" s="32"/>
    </row>
    <row r="27" spans="1:26" ht="14.25" customHeight="1" thickBot="1">
      <c r="A27" s="46" t="s">
        <v>154</v>
      </c>
      <c r="B27" s="48" t="s">
        <v>166</v>
      </c>
      <c r="C27" s="32" t="str">
        <f t="shared" si="0"/>
        <v>Ancillary services/Support services -&gt; Laboratory</v>
      </c>
      <c r="D27" s="32"/>
      <c r="E27" s="32"/>
      <c r="F27" s="32"/>
      <c r="G27" s="32"/>
      <c r="H27" s="32"/>
      <c r="I27" s="32"/>
      <c r="J27" s="32"/>
      <c r="K27" s="32"/>
      <c r="L27" s="32"/>
      <c r="M27" s="32"/>
      <c r="N27" s="32"/>
      <c r="O27" s="32"/>
      <c r="P27" s="32"/>
      <c r="Q27" s="32"/>
      <c r="R27" s="32"/>
      <c r="S27" s="32"/>
      <c r="T27" s="32"/>
      <c r="U27" s="32"/>
      <c r="V27" s="32"/>
      <c r="W27" s="32"/>
      <c r="X27" s="32"/>
      <c r="Y27" s="32"/>
      <c r="Z27" s="32"/>
    </row>
    <row r="28" spans="1:26" ht="14.25" customHeight="1" thickBot="1">
      <c r="A28" s="46" t="s">
        <v>154</v>
      </c>
      <c r="B28" s="48" t="s">
        <v>165</v>
      </c>
      <c r="C28" s="32" t="str">
        <f t="shared" si="0"/>
        <v>Ancillary services/Support services -&gt; Radiology / Diagnostic Imaging (CT Scan, MRI, ECG, Mammography, Endoscopy)</v>
      </c>
      <c r="D28" s="32"/>
      <c r="E28" s="32"/>
      <c r="F28" s="32"/>
      <c r="G28" s="32"/>
      <c r="H28" s="32"/>
      <c r="I28" s="32"/>
      <c r="J28" s="32"/>
      <c r="K28" s="32"/>
      <c r="L28" s="32"/>
      <c r="M28" s="32"/>
      <c r="N28" s="32"/>
      <c r="O28" s="32"/>
      <c r="P28" s="32"/>
      <c r="Q28" s="32"/>
      <c r="R28" s="32"/>
      <c r="S28" s="32"/>
      <c r="T28" s="32"/>
      <c r="U28" s="32"/>
      <c r="V28" s="32"/>
      <c r="W28" s="32"/>
      <c r="X28" s="32"/>
      <c r="Y28" s="32"/>
      <c r="Z28" s="32"/>
    </row>
    <row r="29" spans="1:26" ht="14.25" customHeight="1" thickBot="1">
      <c r="A29" s="46" t="s">
        <v>154</v>
      </c>
      <c r="B29" s="48" t="s">
        <v>202</v>
      </c>
      <c r="C29" s="32" t="str">
        <f t="shared" si="0"/>
        <v>Ancillary services/Support services -&gt; Heart Station</v>
      </c>
      <c r="D29" s="32"/>
      <c r="E29" s="32"/>
      <c r="F29" s="32"/>
      <c r="G29" s="32"/>
      <c r="H29" s="32"/>
      <c r="I29" s="32"/>
      <c r="J29" s="32"/>
      <c r="K29" s="32"/>
      <c r="L29" s="32"/>
      <c r="M29" s="32"/>
      <c r="N29" s="32"/>
      <c r="O29" s="32"/>
      <c r="P29" s="32"/>
      <c r="Q29" s="32"/>
      <c r="R29" s="32"/>
      <c r="S29" s="32"/>
      <c r="T29" s="32"/>
      <c r="U29" s="32"/>
      <c r="V29" s="32"/>
      <c r="W29" s="32"/>
      <c r="X29" s="32"/>
      <c r="Y29" s="32"/>
      <c r="Z29" s="32"/>
    </row>
    <row r="30" spans="1:26" ht="14.25" customHeight="1" thickBot="1">
      <c r="A30" s="46" t="s">
        <v>154</v>
      </c>
      <c r="B30" s="48" t="s">
        <v>164</v>
      </c>
      <c r="C30" s="32" t="str">
        <f t="shared" si="0"/>
        <v>Ancillary services/Support services -&gt; Physiotherapy / Rehabilitation</v>
      </c>
      <c r="D30" s="32"/>
      <c r="E30" s="32"/>
      <c r="F30" s="32"/>
      <c r="G30" s="32"/>
      <c r="H30" s="32"/>
      <c r="I30" s="32"/>
      <c r="J30" s="32"/>
      <c r="K30" s="32"/>
      <c r="L30" s="32"/>
      <c r="M30" s="32"/>
      <c r="N30" s="32"/>
      <c r="O30" s="32"/>
      <c r="P30" s="32"/>
      <c r="Q30" s="32"/>
      <c r="R30" s="32"/>
      <c r="S30" s="32"/>
      <c r="T30" s="32"/>
      <c r="U30" s="32"/>
      <c r="V30" s="32"/>
      <c r="W30" s="32"/>
      <c r="X30" s="32"/>
      <c r="Y30" s="32"/>
      <c r="Z30" s="32"/>
    </row>
    <row r="31" spans="1:26" ht="14.25" customHeight="1" thickBot="1">
      <c r="A31" s="46" t="s">
        <v>154</v>
      </c>
      <c r="B31" s="48" t="s">
        <v>163</v>
      </c>
      <c r="C31" s="32" t="str">
        <f t="shared" si="0"/>
        <v>Ancillary services/Support services -&gt; Delivery Room</v>
      </c>
      <c r="D31" s="32"/>
      <c r="E31" s="32"/>
      <c r="F31" s="32"/>
      <c r="G31" s="32"/>
      <c r="H31" s="32"/>
      <c r="I31" s="32"/>
      <c r="J31" s="32"/>
      <c r="K31" s="32"/>
      <c r="L31" s="32"/>
      <c r="M31" s="32"/>
      <c r="N31" s="32"/>
      <c r="O31" s="32"/>
      <c r="P31" s="32"/>
      <c r="Q31" s="32"/>
      <c r="R31" s="32"/>
      <c r="S31" s="32"/>
      <c r="T31" s="32"/>
      <c r="U31" s="32"/>
      <c r="V31" s="32"/>
      <c r="W31" s="32"/>
      <c r="X31" s="32"/>
      <c r="Y31" s="32"/>
      <c r="Z31" s="32"/>
    </row>
    <row r="32" spans="1:26" ht="14.25" customHeight="1" thickBot="1">
      <c r="A32" s="46" t="s">
        <v>154</v>
      </c>
      <c r="B32" s="47" t="s">
        <v>162</v>
      </c>
      <c r="C32" s="32" t="str">
        <f t="shared" si="0"/>
        <v>Ancillary services/Support services -&gt; Operating Room / Aneasthesiology / PACU / Recovery Room</v>
      </c>
      <c r="D32" s="32"/>
      <c r="E32" s="32"/>
      <c r="F32" s="32"/>
      <c r="G32" s="32"/>
      <c r="H32" s="32"/>
      <c r="I32" s="32"/>
      <c r="J32" s="32"/>
      <c r="K32" s="32"/>
      <c r="L32" s="32"/>
      <c r="M32" s="32"/>
      <c r="N32" s="32"/>
      <c r="O32" s="32"/>
      <c r="P32" s="32"/>
      <c r="Q32" s="32"/>
      <c r="R32" s="32"/>
      <c r="S32" s="32"/>
      <c r="T32" s="32"/>
      <c r="U32" s="32"/>
      <c r="V32" s="32"/>
      <c r="W32" s="32"/>
      <c r="X32" s="32"/>
      <c r="Y32" s="32"/>
      <c r="Z32" s="32"/>
    </row>
    <row r="33" spans="1:26" ht="14.25" customHeight="1" thickBot="1">
      <c r="A33" s="46" t="s">
        <v>154</v>
      </c>
      <c r="B33" s="48" t="s">
        <v>161</v>
      </c>
      <c r="C33" s="32" t="str">
        <f t="shared" si="0"/>
        <v>Ancillary services/Support services -&gt; Respiratory Unit</v>
      </c>
      <c r="D33" s="32"/>
      <c r="E33" s="32"/>
      <c r="F33" s="32"/>
      <c r="G33" s="32"/>
      <c r="H33" s="32"/>
      <c r="I33" s="32"/>
      <c r="J33" s="32"/>
      <c r="K33" s="32"/>
      <c r="L33" s="32"/>
      <c r="M33" s="32"/>
      <c r="N33" s="32"/>
      <c r="O33" s="32"/>
      <c r="P33" s="32"/>
      <c r="Q33" s="32"/>
      <c r="R33" s="32"/>
      <c r="S33" s="32"/>
      <c r="T33" s="32"/>
      <c r="U33" s="32"/>
      <c r="V33" s="32"/>
      <c r="W33" s="32"/>
      <c r="X33" s="32"/>
      <c r="Y33" s="32"/>
      <c r="Z33" s="32"/>
    </row>
    <row r="34" spans="1:26" ht="14.25" customHeight="1" thickBot="1">
      <c r="A34" s="46" t="s">
        <v>154</v>
      </c>
      <c r="B34" s="47" t="s">
        <v>160</v>
      </c>
      <c r="C34" s="32" t="str">
        <f t="shared" si="0"/>
        <v>Ancillary services/Support services -&gt; Medical ICU</v>
      </c>
      <c r="D34" s="32"/>
      <c r="E34" s="32"/>
      <c r="F34" s="32"/>
      <c r="G34" s="32"/>
      <c r="H34" s="32"/>
      <c r="I34" s="32"/>
      <c r="J34" s="32"/>
      <c r="K34" s="32"/>
      <c r="L34" s="32"/>
      <c r="M34" s="32"/>
      <c r="N34" s="32"/>
      <c r="O34" s="32"/>
      <c r="P34" s="32"/>
      <c r="Q34" s="32"/>
      <c r="R34" s="32"/>
      <c r="S34" s="32"/>
      <c r="T34" s="32"/>
      <c r="U34" s="32"/>
      <c r="V34" s="32"/>
      <c r="W34" s="32"/>
      <c r="X34" s="32"/>
      <c r="Y34" s="32"/>
      <c r="Z34" s="32"/>
    </row>
    <row r="35" spans="1:26" ht="14.25" customHeight="1" thickBot="1">
      <c r="A35" s="46" t="s">
        <v>154</v>
      </c>
      <c r="B35" s="47" t="s">
        <v>159</v>
      </c>
      <c r="C35" s="32" t="str">
        <f t="shared" si="0"/>
        <v>Ancillary services/Support services -&gt; Neonatal ICU*</v>
      </c>
      <c r="D35" s="32"/>
      <c r="E35" s="32"/>
      <c r="F35" s="32"/>
      <c r="G35" s="32"/>
      <c r="H35" s="32"/>
      <c r="I35" s="32"/>
      <c r="J35" s="32"/>
      <c r="K35" s="32"/>
      <c r="L35" s="32"/>
      <c r="M35" s="32"/>
      <c r="N35" s="32"/>
      <c r="O35" s="32"/>
      <c r="P35" s="32"/>
      <c r="Q35" s="32"/>
      <c r="R35" s="32"/>
      <c r="S35" s="32"/>
      <c r="T35" s="32"/>
      <c r="U35" s="32"/>
      <c r="V35" s="32"/>
      <c r="W35" s="32"/>
      <c r="X35" s="32"/>
      <c r="Y35" s="32"/>
      <c r="Z35" s="32"/>
    </row>
    <row r="36" spans="1:26" ht="14.25" customHeight="1" thickBot="1">
      <c r="A36" s="46" t="s">
        <v>154</v>
      </c>
      <c r="B36" s="47" t="s">
        <v>158</v>
      </c>
      <c r="C36" s="32" t="str">
        <f t="shared" ref="C36:C64" si="1">CONCATENATE(A36, " -&gt; ",B36)</f>
        <v>Ancillary services/Support services -&gt; Surgical ICU*</v>
      </c>
      <c r="D36" s="32"/>
      <c r="E36" s="32"/>
      <c r="F36" s="32"/>
      <c r="G36" s="32"/>
      <c r="H36" s="32"/>
      <c r="I36" s="32"/>
      <c r="J36" s="32"/>
      <c r="K36" s="32"/>
      <c r="L36" s="32"/>
      <c r="M36" s="32"/>
      <c r="N36" s="32"/>
      <c r="O36" s="32"/>
      <c r="P36" s="32"/>
      <c r="Q36" s="32"/>
      <c r="R36" s="32"/>
      <c r="S36" s="32"/>
      <c r="T36" s="32"/>
      <c r="U36" s="32"/>
      <c r="V36" s="32"/>
      <c r="W36" s="32"/>
      <c r="X36" s="32"/>
      <c r="Y36" s="32"/>
      <c r="Z36" s="32"/>
    </row>
    <row r="37" spans="1:26" ht="14.25" customHeight="1" thickBot="1">
      <c r="A37" s="46" t="s">
        <v>154</v>
      </c>
      <c r="B37" s="47" t="s">
        <v>157</v>
      </c>
      <c r="C37" s="32" t="str">
        <f t="shared" si="1"/>
        <v>Ancillary services/Support services -&gt; Pediatric ICU*</v>
      </c>
      <c r="D37" s="32"/>
      <c r="E37" s="32"/>
      <c r="F37" s="32"/>
      <c r="G37" s="32"/>
      <c r="H37" s="32"/>
      <c r="I37" s="32"/>
      <c r="J37" s="32"/>
      <c r="K37" s="32"/>
      <c r="L37" s="32"/>
      <c r="M37" s="32"/>
      <c r="N37" s="32"/>
      <c r="O37" s="32"/>
      <c r="P37" s="32"/>
      <c r="Q37" s="32"/>
      <c r="R37" s="32"/>
      <c r="S37" s="32"/>
      <c r="T37" s="32"/>
      <c r="U37" s="32"/>
      <c r="V37" s="32"/>
      <c r="W37" s="32"/>
      <c r="X37" s="32"/>
      <c r="Y37" s="32"/>
      <c r="Z37" s="32"/>
    </row>
    <row r="38" spans="1:26" ht="14.25" customHeight="1" thickBot="1">
      <c r="A38" s="46" t="s">
        <v>154</v>
      </c>
      <c r="B38" s="47" t="s">
        <v>156</v>
      </c>
      <c r="C38" s="32" t="str">
        <f t="shared" si="1"/>
        <v>Ancillary services/Support services -&gt; Burn Unit</v>
      </c>
      <c r="D38" s="32"/>
      <c r="E38" s="32"/>
      <c r="F38" s="32"/>
      <c r="G38" s="32"/>
      <c r="H38" s="32"/>
      <c r="I38" s="32"/>
      <c r="J38" s="32"/>
      <c r="K38" s="32"/>
      <c r="L38" s="32"/>
      <c r="M38" s="32"/>
      <c r="N38" s="32"/>
      <c r="O38" s="32"/>
      <c r="P38" s="32"/>
      <c r="Q38" s="32"/>
      <c r="R38" s="32"/>
      <c r="S38" s="32"/>
      <c r="T38" s="32"/>
      <c r="U38" s="32"/>
      <c r="V38" s="32"/>
      <c r="W38" s="32"/>
      <c r="X38" s="32"/>
      <c r="Y38" s="32"/>
      <c r="Z38" s="32"/>
    </row>
    <row r="39" spans="1:26" ht="17.25" thickBot="1">
      <c r="A39" s="46" t="s">
        <v>154</v>
      </c>
      <c r="B39" s="48" t="s">
        <v>155</v>
      </c>
      <c r="C39" s="32" t="str">
        <f t="shared" si="1"/>
        <v>Ancillary services/Support services -&gt; Morgue</v>
      </c>
      <c r="D39" s="32"/>
      <c r="E39" s="32"/>
      <c r="F39" s="32"/>
      <c r="G39" s="32"/>
      <c r="H39" s="32"/>
      <c r="I39" s="32"/>
      <c r="J39" s="32"/>
      <c r="K39" s="32"/>
      <c r="L39" s="32"/>
      <c r="M39" s="32"/>
      <c r="N39" s="32"/>
      <c r="O39" s="32"/>
      <c r="P39" s="32"/>
      <c r="Q39" s="32"/>
      <c r="R39" s="32"/>
      <c r="S39" s="32"/>
      <c r="T39" s="32"/>
      <c r="U39" s="32"/>
      <c r="V39" s="32"/>
      <c r="W39" s="32"/>
      <c r="X39" s="32"/>
      <c r="Y39" s="32"/>
      <c r="Z39" s="32"/>
    </row>
    <row r="40" spans="1:26" ht="17.25" thickBot="1">
      <c r="A40" s="46" t="s">
        <v>154</v>
      </c>
      <c r="B40" s="51" t="s">
        <v>153</v>
      </c>
      <c r="C40" s="32" t="str">
        <f t="shared" si="1"/>
        <v>Ancillary services/Support services -&gt; Others</v>
      </c>
      <c r="D40" s="32"/>
      <c r="E40" s="32"/>
      <c r="F40" s="32"/>
      <c r="G40" s="32"/>
      <c r="H40" s="32"/>
      <c r="I40" s="32"/>
      <c r="J40" s="32"/>
      <c r="K40" s="32"/>
      <c r="L40" s="32"/>
      <c r="M40" s="32"/>
      <c r="N40" s="32"/>
      <c r="O40" s="32"/>
      <c r="P40" s="32"/>
      <c r="Q40" s="32"/>
      <c r="R40" s="32"/>
      <c r="S40" s="32"/>
      <c r="T40" s="32"/>
      <c r="U40" s="32"/>
      <c r="V40" s="32"/>
      <c r="W40" s="32"/>
      <c r="X40" s="32"/>
      <c r="Y40" s="32"/>
      <c r="Z40" s="32"/>
    </row>
    <row r="41" spans="1:26" ht="13.5" customHeight="1" thickBot="1">
      <c r="A41" s="46" t="s">
        <v>135</v>
      </c>
      <c r="B41" s="50" t="s">
        <v>201</v>
      </c>
      <c r="C41" s="32" t="str">
        <f t="shared" si="1"/>
        <v>Clinical/Medical services -&gt; Outpatient Department</v>
      </c>
      <c r="D41" s="32"/>
      <c r="E41" s="32"/>
      <c r="F41" s="32"/>
      <c r="G41" s="32"/>
      <c r="H41" s="32"/>
      <c r="I41" s="32"/>
      <c r="J41" s="32"/>
      <c r="K41" s="32"/>
      <c r="L41" s="32"/>
      <c r="M41" s="32"/>
      <c r="N41" s="32"/>
      <c r="O41" s="32"/>
      <c r="P41" s="32"/>
      <c r="Q41" s="32"/>
      <c r="R41" s="32"/>
      <c r="S41" s="32"/>
      <c r="T41" s="32"/>
      <c r="U41" s="32"/>
      <c r="V41" s="32"/>
      <c r="W41" s="32"/>
      <c r="X41" s="32"/>
      <c r="Y41" s="32"/>
      <c r="Z41" s="32"/>
    </row>
    <row r="42" spans="1:26" ht="13.5" customHeight="1" thickBot="1">
      <c r="A42" s="46" t="s">
        <v>135</v>
      </c>
      <c r="B42" s="48" t="s">
        <v>151</v>
      </c>
      <c r="C42" s="32" t="str">
        <f t="shared" si="1"/>
        <v>Clinical/Medical services -&gt; Animal Bite Center</v>
      </c>
      <c r="D42" s="32"/>
      <c r="E42" s="32"/>
      <c r="F42" s="32"/>
      <c r="G42" s="32"/>
      <c r="H42" s="32"/>
      <c r="I42" s="32"/>
      <c r="J42" s="32"/>
      <c r="K42" s="32"/>
      <c r="L42" s="32"/>
      <c r="M42" s="32"/>
      <c r="N42" s="32"/>
      <c r="O42" s="32"/>
      <c r="P42" s="32"/>
      <c r="Q42" s="32"/>
      <c r="R42" s="32"/>
      <c r="S42" s="32"/>
      <c r="T42" s="32"/>
      <c r="U42" s="32"/>
      <c r="V42" s="32"/>
      <c r="W42" s="32"/>
      <c r="X42" s="32"/>
      <c r="Y42" s="32"/>
      <c r="Z42" s="32"/>
    </row>
    <row r="43" spans="1:26" ht="13.5" customHeight="1" thickBot="1">
      <c r="A43" s="46" t="s">
        <v>135</v>
      </c>
      <c r="B43" s="48" t="s">
        <v>150</v>
      </c>
      <c r="C43" s="32" t="str">
        <f t="shared" si="1"/>
        <v>Clinical/Medical services -&gt; TB Dots</v>
      </c>
      <c r="D43" s="32"/>
      <c r="E43" s="32"/>
      <c r="F43" s="32"/>
      <c r="G43" s="32"/>
      <c r="H43" s="32"/>
      <c r="I43" s="32"/>
      <c r="J43" s="32"/>
      <c r="K43" s="32"/>
      <c r="L43" s="32"/>
      <c r="M43" s="32"/>
      <c r="N43" s="32"/>
      <c r="O43" s="32"/>
      <c r="P43" s="32"/>
      <c r="Q43" s="32"/>
      <c r="R43" s="32"/>
      <c r="S43" s="32"/>
      <c r="T43" s="32"/>
      <c r="U43" s="32"/>
      <c r="V43" s="32"/>
      <c r="W43" s="32"/>
      <c r="X43" s="32"/>
      <c r="Y43" s="32"/>
      <c r="Z43" s="32"/>
    </row>
    <row r="44" spans="1:26" ht="13.5" customHeight="1" thickBot="1">
      <c r="A44" s="46" t="s">
        <v>135</v>
      </c>
      <c r="B44" s="48" t="s">
        <v>149</v>
      </c>
      <c r="C44" s="32" t="str">
        <f t="shared" si="1"/>
        <v>Clinical/Medical services -&gt; HIV Aids</v>
      </c>
      <c r="D44" s="32"/>
      <c r="E44" s="32"/>
      <c r="F44" s="32"/>
      <c r="G44" s="32"/>
      <c r="H44" s="32"/>
      <c r="I44" s="32"/>
      <c r="J44" s="32"/>
      <c r="K44" s="32"/>
      <c r="L44" s="32"/>
      <c r="M44" s="32"/>
      <c r="N44" s="32"/>
      <c r="O44" s="32"/>
      <c r="P44" s="32"/>
      <c r="Q44" s="32"/>
      <c r="R44" s="32"/>
      <c r="S44" s="32"/>
      <c r="T44" s="32"/>
      <c r="U44" s="32"/>
      <c r="V44" s="32"/>
      <c r="W44" s="32"/>
      <c r="X44" s="32"/>
      <c r="Y44" s="32"/>
      <c r="Z44" s="32"/>
    </row>
    <row r="45" spans="1:26" ht="13.5" customHeight="1" thickBot="1">
      <c r="A45" s="46" t="s">
        <v>135</v>
      </c>
      <c r="B45" s="48" t="s">
        <v>148</v>
      </c>
      <c r="C45" s="32" t="str">
        <f t="shared" si="1"/>
        <v>Clinical/Medical services -&gt; Family Planning Unit</v>
      </c>
      <c r="D45" s="32"/>
      <c r="E45" s="32"/>
      <c r="F45" s="32"/>
      <c r="G45" s="32"/>
      <c r="H45" s="32"/>
      <c r="I45" s="32"/>
      <c r="J45" s="32"/>
      <c r="K45" s="32"/>
      <c r="L45" s="32"/>
      <c r="M45" s="32"/>
      <c r="N45" s="32"/>
      <c r="O45" s="32"/>
      <c r="P45" s="32"/>
      <c r="Q45" s="32"/>
      <c r="R45" s="32"/>
      <c r="S45" s="32"/>
      <c r="T45" s="32"/>
      <c r="U45" s="32"/>
      <c r="V45" s="32"/>
      <c r="W45" s="32"/>
      <c r="X45" s="32"/>
      <c r="Y45" s="32"/>
      <c r="Z45" s="32"/>
    </row>
    <row r="46" spans="1:26" ht="13.5" customHeight="1" thickBot="1">
      <c r="A46" s="46" t="s">
        <v>135</v>
      </c>
      <c r="B46" s="48" t="s">
        <v>147</v>
      </c>
      <c r="C46" s="32" t="str">
        <f t="shared" si="1"/>
        <v>Clinical/Medical services -&gt; Smoking Cessation</v>
      </c>
      <c r="D46" s="32"/>
      <c r="E46" s="32"/>
      <c r="F46" s="32"/>
      <c r="G46" s="32"/>
      <c r="H46" s="32"/>
      <c r="I46" s="32"/>
      <c r="J46" s="32"/>
      <c r="K46" s="32"/>
      <c r="L46" s="32"/>
      <c r="M46" s="32"/>
      <c r="N46" s="32"/>
      <c r="O46" s="32"/>
      <c r="P46" s="32"/>
      <c r="Q46" s="32"/>
      <c r="R46" s="32"/>
      <c r="S46" s="32"/>
      <c r="T46" s="32"/>
      <c r="U46" s="32"/>
      <c r="V46" s="32"/>
      <c r="W46" s="32"/>
      <c r="X46" s="32"/>
      <c r="Y46" s="32"/>
      <c r="Z46" s="32"/>
    </row>
    <row r="47" spans="1:26" ht="13.5" customHeight="1" thickBot="1">
      <c r="A47" s="46" t="s">
        <v>135</v>
      </c>
      <c r="B47" s="48" t="s">
        <v>146</v>
      </c>
      <c r="C47" s="32" t="str">
        <f t="shared" si="1"/>
        <v>Clinical/Medical services -&gt; Malaria</v>
      </c>
      <c r="D47" s="32"/>
      <c r="E47" s="32"/>
      <c r="F47" s="32"/>
      <c r="G47" s="32"/>
      <c r="H47" s="32"/>
      <c r="I47" s="32"/>
      <c r="J47" s="32"/>
      <c r="K47" s="32"/>
      <c r="L47" s="32"/>
      <c r="M47" s="32"/>
      <c r="N47" s="32"/>
      <c r="O47" s="32"/>
      <c r="P47" s="32"/>
      <c r="Q47" s="32"/>
      <c r="R47" s="32"/>
      <c r="S47" s="32"/>
      <c r="T47" s="32"/>
      <c r="U47" s="32"/>
      <c r="V47" s="32"/>
      <c r="W47" s="32"/>
      <c r="X47" s="32"/>
      <c r="Y47" s="32"/>
      <c r="Z47" s="32"/>
    </row>
    <row r="48" spans="1:26" ht="13.5" customHeight="1" thickBot="1">
      <c r="A48" s="46" t="s">
        <v>135</v>
      </c>
      <c r="B48" s="49" t="s">
        <v>200</v>
      </c>
      <c r="C48" s="32" t="str">
        <f t="shared" si="1"/>
        <v>Clinical/Medical services -&gt; Diabetes MAP</v>
      </c>
      <c r="D48" s="32"/>
      <c r="E48" s="32"/>
      <c r="F48" s="32"/>
      <c r="G48" s="32"/>
      <c r="H48" s="32"/>
      <c r="I48" s="32"/>
      <c r="J48" s="32"/>
      <c r="K48" s="32"/>
      <c r="L48" s="32"/>
      <c r="M48" s="32"/>
      <c r="N48" s="32"/>
      <c r="O48" s="32"/>
      <c r="P48" s="32"/>
      <c r="Q48" s="32"/>
      <c r="R48" s="32"/>
      <c r="S48" s="32"/>
      <c r="T48" s="32"/>
      <c r="U48" s="32"/>
      <c r="V48" s="32"/>
      <c r="W48" s="32"/>
      <c r="X48" s="32"/>
      <c r="Y48" s="32"/>
      <c r="Z48" s="32"/>
    </row>
    <row r="49" spans="1:26" ht="13.5" customHeight="1" thickBot="1">
      <c r="A49" s="46" t="s">
        <v>135</v>
      </c>
      <c r="B49" s="48" t="s">
        <v>199</v>
      </c>
      <c r="C49" s="32" t="str">
        <f t="shared" si="1"/>
        <v>Clinical/Medical services -&gt; Hypertension MAP</v>
      </c>
      <c r="D49" s="32"/>
      <c r="E49" s="32"/>
      <c r="F49" s="32"/>
      <c r="G49" s="32"/>
      <c r="H49" s="32"/>
      <c r="I49" s="32"/>
      <c r="J49" s="32"/>
      <c r="K49" s="32"/>
      <c r="L49" s="32"/>
      <c r="M49" s="32"/>
      <c r="N49" s="32"/>
      <c r="O49" s="32"/>
      <c r="P49" s="32"/>
      <c r="Q49" s="32"/>
      <c r="R49" s="32"/>
      <c r="S49" s="32"/>
      <c r="T49" s="32"/>
      <c r="U49" s="32"/>
      <c r="V49" s="32"/>
      <c r="W49" s="32"/>
      <c r="X49" s="32"/>
      <c r="Y49" s="32"/>
      <c r="Z49" s="32"/>
    </row>
    <row r="50" spans="1:26" ht="14.25" customHeight="1" thickBot="1">
      <c r="A50" s="46" t="s">
        <v>135</v>
      </c>
      <c r="B50" s="47" t="s">
        <v>143</v>
      </c>
      <c r="C50" s="32" t="str">
        <f t="shared" si="1"/>
        <v>Clinical/Medical services -&gt; Emergency Medicine Department</v>
      </c>
      <c r="D50" s="32"/>
      <c r="E50" s="32"/>
      <c r="F50" s="32"/>
      <c r="G50" s="32"/>
      <c r="H50" s="32"/>
      <c r="I50" s="32"/>
      <c r="J50" s="32"/>
      <c r="K50" s="32"/>
      <c r="L50" s="32"/>
      <c r="M50" s="32"/>
      <c r="N50" s="32"/>
      <c r="O50" s="32"/>
      <c r="P50" s="32"/>
      <c r="Q50" s="32"/>
      <c r="R50" s="32"/>
      <c r="S50" s="32"/>
      <c r="T50" s="32"/>
      <c r="U50" s="32"/>
      <c r="V50" s="32"/>
      <c r="W50" s="32"/>
      <c r="X50" s="32"/>
      <c r="Y50" s="32"/>
      <c r="Z50" s="32"/>
    </row>
    <row r="51" spans="1:26" ht="14.25" customHeight="1" thickBot="1">
      <c r="A51" s="46" t="s">
        <v>135</v>
      </c>
      <c r="B51" s="47" t="s">
        <v>142</v>
      </c>
      <c r="C51" s="32" t="str">
        <f t="shared" si="1"/>
        <v>Clinical/Medical services -&gt; Dialysis Unit</v>
      </c>
      <c r="D51" s="32"/>
      <c r="E51" s="32"/>
      <c r="F51" s="32"/>
      <c r="G51" s="32"/>
      <c r="H51" s="32"/>
      <c r="I51" s="32"/>
      <c r="J51" s="32"/>
      <c r="K51" s="32"/>
      <c r="L51" s="32"/>
      <c r="M51" s="32"/>
      <c r="N51" s="32"/>
      <c r="O51" s="32"/>
      <c r="P51" s="32"/>
      <c r="Q51" s="32"/>
      <c r="R51" s="32"/>
      <c r="S51" s="32"/>
      <c r="T51" s="32"/>
      <c r="U51" s="32"/>
      <c r="V51" s="32"/>
      <c r="W51" s="32"/>
      <c r="X51" s="32"/>
      <c r="Y51" s="32"/>
      <c r="Z51" s="32"/>
    </row>
    <row r="52" spans="1:26" ht="14.25" customHeight="1" thickBot="1">
      <c r="A52" s="46" t="s">
        <v>135</v>
      </c>
      <c r="B52" s="48" t="s">
        <v>198</v>
      </c>
      <c r="C52" s="32" t="str">
        <f t="shared" si="1"/>
        <v>Clinical/Medical services -&gt; Nuclear Medicine</v>
      </c>
      <c r="D52" s="32"/>
      <c r="E52" s="32"/>
      <c r="F52" s="32"/>
      <c r="G52" s="32"/>
      <c r="H52" s="32"/>
      <c r="I52" s="32"/>
      <c r="J52" s="32"/>
      <c r="K52" s="32"/>
      <c r="L52" s="32"/>
      <c r="M52" s="32"/>
      <c r="N52" s="32"/>
      <c r="O52" s="32"/>
      <c r="P52" s="32"/>
      <c r="Q52" s="32"/>
      <c r="R52" s="32"/>
      <c r="S52" s="32"/>
      <c r="T52" s="32"/>
      <c r="U52" s="32"/>
      <c r="V52" s="32"/>
      <c r="W52" s="32"/>
      <c r="X52" s="32"/>
      <c r="Y52" s="32"/>
      <c r="Z52" s="32"/>
    </row>
    <row r="53" spans="1:26" ht="14.25" customHeight="1" thickBot="1">
      <c r="A53" s="46" t="s">
        <v>135</v>
      </c>
      <c r="B53" s="47" t="s">
        <v>141</v>
      </c>
      <c r="C53" s="32" t="str">
        <f t="shared" si="1"/>
        <v>Clinical/Medical services -&gt; Radiation Oncology Unit*</v>
      </c>
      <c r="D53" s="32"/>
      <c r="E53" s="32"/>
      <c r="F53" s="32"/>
      <c r="G53" s="32"/>
      <c r="H53" s="32"/>
      <c r="I53" s="32"/>
      <c r="J53" s="32"/>
      <c r="K53" s="32"/>
      <c r="L53" s="32"/>
      <c r="M53" s="32"/>
      <c r="N53" s="32"/>
      <c r="O53" s="32"/>
      <c r="P53" s="32"/>
      <c r="Q53" s="32"/>
      <c r="R53" s="32"/>
      <c r="S53" s="32"/>
      <c r="T53" s="32"/>
      <c r="U53" s="32"/>
      <c r="V53" s="32"/>
      <c r="W53" s="32"/>
      <c r="X53" s="32"/>
      <c r="Y53" s="32"/>
      <c r="Z53" s="32"/>
    </row>
    <row r="54" spans="1:26" ht="14.25" customHeight="1" thickBot="1">
      <c r="A54" s="46" t="s">
        <v>135</v>
      </c>
      <c r="B54" s="48" t="s">
        <v>197</v>
      </c>
      <c r="C54" s="32" t="str">
        <f t="shared" si="1"/>
        <v>Clinical/Medical services -&gt; Endoscopy Unit</v>
      </c>
      <c r="D54" s="32"/>
      <c r="E54" s="32"/>
      <c r="F54" s="32"/>
      <c r="G54" s="32"/>
      <c r="H54" s="32"/>
      <c r="I54" s="32"/>
      <c r="J54" s="32"/>
      <c r="K54" s="32"/>
      <c r="L54" s="32"/>
      <c r="M54" s="32"/>
      <c r="N54" s="32"/>
      <c r="O54" s="32"/>
      <c r="P54" s="32"/>
      <c r="Q54" s="32"/>
      <c r="R54" s="32"/>
      <c r="S54" s="32"/>
      <c r="T54" s="32"/>
      <c r="U54" s="32"/>
      <c r="V54" s="32"/>
      <c r="W54" s="32"/>
      <c r="X54" s="32"/>
      <c r="Y54" s="32"/>
      <c r="Z54" s="32"/>
    </row>
    <row r="55" spans="1:26" ht="14.25" customHeight="1" thickBot="1">
      <c r="A55" s="46" t="s">
        <v>135</v>
      </c>
      <c r="B55" s="47" t="s">
        <v>140</v>
      </c>
      <c r="C55" s="32" t="str">
        <f t="shared" si="1"/>
        <v>Clinical/Medical services -&gt; Dental</v>
      </c>
      <c r="D55" s="32"/>
      <c r="E55" s="32"/>
      <c r="F55" s="32"/>
      <c r="G55" s="32"/>
      <c r="H55" s="32"/>
      <c r="I55" s="32"/>
      <c r="J55" s="32"/>
      <c r="K55" s="32"/>
      <c r="L55" s="32"/>
      <c r="M55" s="32"/>
      <c r="N55" s="32"/>
      <c r="O55" s="32"/>
      <c r="P55" s="32"/>
      <c r="Q55" s="32"/>
      <c r="R55" s="32"/>
      <c r="S55" s="32"/>
      <c r="T55" s="32"/>
      <c r="U55" s="32"/>
      <c r="V55" s="32"/>
      <c r="W55" s="32"/>
      <c r="X55" s="32"/>
      <c r="Y55" s="32"/>
      <c r="Z55" s="32"/>
    </row>
    <row r="56" spans="1:26" ht="14.25" customHeight="1" thickBot="1">
      <c r="A56" s="46" t="s">
        <v>135</v>
      </c>
      <c r="B56" s="47" t="s">
        <v>139</v>
      </c>
      <c r="C56" s="32" t="str">
        <f t="shared" si="1"/>
        <v>Clinical/Medical services -&gt; Internal Medicine Ward</v>
      </c>
      <c r="D56" s="32"/>
      <c r="E56" s="32"/>
      <c r="F56" s="32"/>
      <c r="G56" s="32"/>
      <c r="H56" s="32"/>
      <c r="I56" s="32"/>
      <c r="J56" s="32"/>
      <c r="K56" s="32"/>
      <c r="L56" s="32"/>
      <c r="M56" s="32"/>
      <c r="N56" s="32"/>
      <c r="O56" s="32"/>
      <c r="P56" s="32"/>
      <c r="Q56" s="32"/>
      <c r="R56" s="32"/>
      <c r="S56" s="32"/>
      <c r="T56" s="32"/>
      <c r="U56" s="32"/>
      <c r="V56" s="32"/>
      <c r="W56" s="32"/>
      <c r="X56" s="32"/>
      <c r="Y56" s="32"/>
      <c r="Z56" s="32"/>
    </row>
    <row r="57" spans="1:26" ht="14.25" customHeight="1" thickBot="1">
      <c r="A57" s="46" t="s">
        <v>135</v>
      </c>
      <c r="B57" s="47" t="s">
        <v>138</v>
      </c>
      <c r="C57" s="32" t="str">
        <f t="shared" si="1"/>
        <v>Clinical/Medical services -&gt; Pediatric Ward</v>
      </c>
      <c r="D57" s="32"/>
      <c r="E57" s="32"/>
      <c r="F57" s="32"/>
      <c r="G57" s="32"/>
      <c r="H57" s="32"/>
      <c r="I57" s="32"/>
      <c r="J57" s="32"/>
      <c r="K57" s="32"/>
      <c r="L57" s="32"/>
      <c r="M57" s="32"/>
      <c r="N57" s="32"/>
      <c r="O57" s="32"/>
      <c r="P57" s="32"/>
      <c r="Q57" s="32"/>
      <c r="R57" s="32"/>
      <c r="S57" s="32"/>
      <c r="T57" s="32"/>
      <c r="U57" s="32"/>
      <c r="V57" s="32"/>
      <c r="W57" s="32"/>
      <c r="X57" s="32"/>
      <c r="Y57" s="32"/>
      <c r="Z57" s="32"/>
    </row>
    <row r="58" spans="1:26" ht="14.25" customHeight="1" thickBot="1">
      <c r="A58" s="46" t="s">
        <v>135</v>
      </c>
      <c r="B58" s="47" t="s">
        <v>137</v>
      </c>
      <c r="C58" s="32" t="str">
        <f t="shared" si="1"/>
        <v>Clinical/Medical services -&gt; Surgical Ward</v>
      </c>
      <c r="D58" s="32"/>
      <c r="E58" s="32"/>
      <c r="F58" s="32"/>
      <c r="G58" s="32"/>
      <c r="H58" s="32"/>
      <c r="I58" s="32"/>
      <c r="J58" s="32"/>
      <c r="K58" s="32"/>
      <c r="L58" s="32"/>
      <c r="M58" s="32"/>
      <c r="N58" s="32"/>
      <c r="O58" s="32"/>
      <c r="P58" s="32"/>
      <c r="Q58" s="32"/>
      <c r="R58" s="32"/>
      <c r="S58" s="32"/>
      <c r="T58" s="32"/>
      <c r="U58" s="32"/>
      <c r="V58" s="32"/>
      <c r="W58" s="32"/>
      <c r="X58" s="32"/>
      <c r="Y58" s="32"/>
      <c r="Z58" s="32"/>
    </row>
    <row r="59" spans="1:26" ht="14.25" customHeight="1" thickBot="1">
      <c r="A59" s="46" t="s">
        <v>135</v>
      </c>
      <c r="B59" s="47" t="s">
        <v>136</v>
      </c>
      <c r="C59" s="32" t="str">
        <f t="shared" si="1"/>
        <v>Clinical/Medical services -&gt; Ob/Gyne Ward</v>
      </c>
      <c r="D59" s="32"/>
      <c r="E59" s="32"/>
      <c r="F59" s="32"/>
      <c r="G59" s="32"/>
      <c r="H59" s="32"/>
      <c r="I59" s="32"/>
      <c r="J59" s="32"/>
      <c r="K59" s="32"/>
      <c r="L59" s="32"/>
      <c r="M59" s="32"/>
      <c r="N59" s="32"/>
      <c r="O59" s="32"/>
      <c r="P59" s="32"/>
      <c r="Q59" s="32"/>
      <c r="R59" s="32"/>
      <c r="S59" s="32"/>
      <c r="T59" s="32"/>
      <c r="U59" s="32"/>
      <c r="V59" s="32"/>
      <c r="W59" s="32"/>
      <c r="X59" s="32"/>
      <c r="Y59" s="32"/>
      <c r="Z59" s="32"/>
    </row>
    <row r="60" spans="1:26" ht="14.25" customHeight="1" thickBot="1">
      <c r="A60" s="46" t="s">
        <v>135</v>
      </c>
      <c r="B60" s="47" t="s">
        <v>134</v>
      </c>
      <c r="C60" s="32" t="str">
        <f t="shared" si="1"/>
        <v>Clinical/Medical services -&gt; Private Ward</v>
      </c>
      <c r="D60" s="32"/>
      <c r="E60" s="32"/>
      <c r="F60" s="32"/>
      <c r="G60" s="32"/>
      <c r="H60" s="32"/>
      <c r="I60" s="32"/>
      <c r="J60" s="32"/>
      <c r="K60" s="32"/>
      <c r="L60" s="32"/>
      <c r="M60" s="32"/>
      <c r="N60" s="32"/>
      <c r="O60" s="32"/>
      <c r="P60" s="32"/>
      <c r="Q60" s="32"/>
      <c r="R60" s="32"/>
      <c r="S60" s="32"/>
      <c r="T60" s="32"/>
      <c r="U60" s="32"/>
      <c r="V60" s="32"/>
      <c r="W60" s="32"/>
      <c r="X60" s="32"/>
      <c r="Y60" s="32"/>
      <c r="Z60" s="32"/>
    </row>
    <row r="61" spans="1:26" ht="14.25" customHeight="1" thickBot="1">
      <c r="A61" s="46" t="s">
        <v>135</v>
      </c>
      <c r="B61" s="47" t="s">
        <v>196</v>
      </c>
      <c r="C61" s="32" t="str">
        <f t="shared" si="1"/>
        <v>Clinical/Medical services -&gt; Neurosurgery Ward*</v>
      </c>
      <c r="D61" s="32"/>
      <c r="E61" s="32"/>
      <c r="F61" s="32"/>
      <c r="G61" s="32"/>
      <c r="H61" s="32"/>
      <c r="I61" s="32"/>
      <c r="J61" s="32"/>
      <c r="K61" s="32"/>
      <c r="L61" s="32"/>
      <c r="M61" s="32"/>
      <c r="N61" s="32"/>
      <c r="O61" s="32"/>
      <c r="P61" s="32"/>
      <c r="Q61" s="32"/>
      <c r="R61" s="32"/>
      <c r="S61" s="32"/>
      <c r="T61" s="32"/>
      <c r="U61" s="32"/>
      <c r="V61" s="32"/>
      <c r="W61" s="32"/>
      <c r="X61" s="32"/>
      <c r="Y61" s="32"/>
      <c r="Z61" s="32"/>
    </row>
    <row r="62" spans="1:26" ht="14.25" customHeight="1" thickBot="1">
      <c r="A62" s="46" t="s">
        <v>135</v>
      </c>
      <c r="B62" s="47" t="s">
        <v>195</v>
      </c>
      <c r="C62" s="32" t="str">
        <f t="shared" si="1"/>
        <v>Clinical/Medical services -&gt; Orthopedic Ward*</v>
      </c>
      <c r="D62" s="32"/>
      <c r="E62" s="32"/>
      <c r="F62" s="32"/>
      <c r="G62" s="32"/>
      <c r="H62" s="32"/>
      <c r="I62" s="32"/>
      <c r="J62" s="32"/>
      <c r="K62" s="32"/>
      <c r="L62" s="32"/>
      <c r="M62" s="32"/>
      <c r="N62" s="32"/>
      <c r="O62" s="32"/>
      <c r="P62" s="32"/>
      <c r="Q62" s="32"/>
      <c r="R62" s="32"/>
      <c r="S62" s="32"/>
      <c r="T62" s="32"/>
      <c r="U62" s="32"/>
      <c r="V62" s="32"/>
      <c r="W62" s="32"/>
      <c r="X62" s="32"/>
      <c r="Y62" s="32"/>
      <c r="Z62" s="32"/>
    </row>
    <row r="63" spans="1:26" ht="17.25" thickBot="1">
      <c r="A63" s="46" t="s">
        <v>135</v>
      </c>
      <c r="B63" s="47" t="s">
        <v>194</v>
      </c>
      <c r="C63" s="32" t="str">
        <f t="shared" si="1"/>
        <v>Clinical/Medical services -&gt; Psychiatric Ward*</v>
      </c>
      <c r="D63" s="32"/>
      <c r="E63" s="32"/>
      <c r="F63" s="32"/>
      <c r="G63" s="32"/>
      <c r="H63" s="32"/>
      <c r="I63" s="32"/>
      <c r="J63" s="32"/>
      <c r="K63" s="32"/>
      <c r="L63" s="32"/>
      <c r="M63" s="32"/>
      <c r="N63" s="32"/>
      <c r="O63" s="32"/>
      <c r="P63" s="32"/>
      <c r="Q63" s="32"/>
      <c r="R63" s="32"/>
      <c r="S63" s="32"/>
      <c r="T63" s="32"/>
      <c r="U63" s="32"/>
      <c r="V63" s="32"/>
      <c r="W63" s="32"/>
      <c r="X63" s="32"/>
      <c r="Y63" s="32"/>
      <c r="Z63" s="32"/>
    </row>
    <row r="64" spans="1:26" ht="13.5" customHeight="1" thickBot="1">
      <c r="A64" s="46" t="s">
        <v>135</v>
      </c>
      <c r="B64" s="45" t="s">
        <v>193</v>
      </c>
      <c r="C64" s="32" t="str">
        <f t="shared" si="1"/>
        <v>Clinical/Medical services -&gt; ENT Ward*</v>
      </c>
      <c r="D64" s="32"/>
      <c r="E64" s="32"/>
      <c r="F64" s="32"/>
      <c r="G64" s="32"/>
      <c r="H64" s="32"/>
      <c r="I64" s="32"/>
      <c r="J64" s="32"/>
      <c r="K64" s="32"/>
      <c r="L64" s="32"/>
      <c r="M64" s="32"/>
      <c r="N64" s="32"/>
      <c r="O64" s="32"/>
      <c r="P64" s="32"/>
      <c r="Q64" s="32"/>
      <c r="R64" s="32"/>
      <c r="S64" s="32"/>
      <c r="T64" s="32"/>
      <c r="U64" s="32"/>
      <c r="V64" s="32"/>
      <c r="W64" s="32"/>
      <c r="X64" s="32"/>
      <c r="Y64" s="32"/>
      <c r="Z64" s="32"/>
    </row>
    <row r="65" spans="1:26" ht="13.5" customHeight="1">
      <c r="A65" s="44"/>
      <c r="B65" s="32"/>
      <c r="C65" s="32"/>
      <c r="D65" s="32"/>
      <c r="E65" s="32"/>
      <c r="F65" s="32"/>
      <c r="G65" s="32"/>
      <c r="H65" s="32"/>
      <c r="I65" s="32"/>
      <c r="J65" s="32"/>
      <c r="K65" s="32"/>
      <c r="L65" s="32"/>
      <c r="M65" s="32"/>
      <c r="N65" s="32"/>
      <c r="O65" s="32"/>
      <c r="P65" s="32"/>
      <c r="Q65" s="32"/>
      <c r="R65" s="32"/>
      <c r="S65" s="32"/>
      <c r="T65" s="32"/>
      <c r="U65" s="32"/>
      <c r="V65" s="32"/>
      <c r="W65" s="32"/>
      <c r="X65" s="32"/>
      <c r="Y65" s="32"/>
      <c r="Z65" s="32"/>
    </row>
    <row r="66" spans="1:26" ht="13.5" customHeight="1">
      <c r="A66" s="32"/>
      <c r="B66" s="31"/>
      <c r="C66" s="32"/>
      <c r="D66" s="32"/>
      <c r="E66" s="32"/>
      <c r="F66" s="32"/>
      <c r="G66" s="32"/>
      <c r="H66" s="32"/>
      <c r="I66" s="32"/>
      <c r="J66" s="32"/>
      <c r="K66" s="32"/>
      <c r="L66" s="32"/>
      <c r="M66" s="32"/>
      <c r="N66" s="32"/>
      <c r="O66" s="32"/>
      <c r="P66" s="32"/>
      <c r="Q66" s="32"/>
      <c r="R66" s="32"/>
      <c r="S66" s="32"/>
      <c r="T66" s="32"/>
      <c r="U66" s="32"/>
      <c r="V66" s="32"/>
      <c r="W66" s="32"/>
      <c r="X66" s="32"/>
      <c r="Y66" s="32"/>
      <c r="Z66" s="32"/>
    </row>
    <row r="67" spans="1:26" ht="13.5" customHeight="1">
      <c r="A67" s="32"/>
      <c r="B67" s="32"/>
      <c r="C67" s="32"/>
      <c r="D67" s="32"/>
      <c r="E67" s="32"/>
      <c r="F67" s="32"/>
      <c r="G67" s="32"/>
      <c r="H67" s="32"/>
      <c r="I67" s="32"/>
      <c r="J67" s="32"/>
      <c r="K67" s="32"/>
      <c r="L67" s="32"/>
      <c r="M67" s="32"/>
      <c r="N67" s="32"/>
      <c r="O67" s="32"/>
      <c r="P67" s="32"/>
      <c r="Q67" s="32"/>
      <c r="R67" s="32"/>
      <c r="S67" s="32"/>
      <c r="T67" s="32"/>
      <c r="U67" s="32"/>
      <c r="V67" s="32"/>
      <c r="W67" s="32"/>
      <c r="X67" s="32"/>
      <c r="Y67" s="32"/>
      <c r="Z67" s="32"/>
    </row>
    <row r="68" spans="1:26" ht="13.5" customHeight="1">
      <c r="A68" s="32"/>
      <c r="B68" s="32"/>
      <c r="C68" s="32"/>
      <c r="D68" s="32"/>
      <c r="E68" s="32"/>
      <c r="F68" s="32"/>
      <c r="G68" s="32"/>
      <c r="H68" s="32"/>
      <c r="I68" s="32"/>
      <c r="J68" s="32"/>
      <c r="K68" s="32"/>
      <c r="L68" s="32"/>
      <c r="M68" s="32"/>
      <c r="N68" s="32"/>
      <c r="O68" s="32"/>
      <c r="P68" s="32"/>
      <c r="Q68" s="32"/>
      <c r="R68" s="32"/>
      <c r="S68" s="32"/>
      <c r="T68" s="32"/>
      <c r="U68" s="32"/>
      <c r="V68" s="32"/>
      <c r="W68" s="32"/>
      <c r="X68" s="32"/>
      <c r="Y68" s="32"/>
      <c r="Z68" s="32"/>
    </row>
    <row r="69" spans="1:26" ht="13.5" customHeight="1">
      <c r="A69" s="32"/>
      <c r="B69" s="32"/>
      <c r="C69" s="32"/>
      <c r="D69" s="32"/>
      <c r="E69" s="32"/>
      <c r="F69" s="32"/>
      <c r="G69" s="32"/>
      <c r="H69" s="32"/>
      <c r="I69" s="32"/>
      <c r="J69" s="32"/>
      <c r="K69" s="32"/>
      <c r="L69" s="32"/>
      <c r="M69" s="32"/>
      <c r="N69" s="32"/>
      <c r="O69" s="32"/>
      <c r="P69" s="32"/>
      <c r="Q69" s="32"/>
      <c r="R69" s="32"/>
      <c r="S69" s="32"/>
      <c r="T69" s="32"/>
      <c r="U69" s="32"/>
      <c r="V69" s="32"/>
      <c r="W69" s="32"/>
      <c r="X69" s="32"/>
      <c r="Y69" s="32"/>
      <c r="Z69" s="32"/>
    </row>
    <row r="70" spans="1:26" ht="13.5" customHeight="1">
      <c r="A70" s="32" t="s">
        <v>133</v>
      </c>
      <c r="B70" s="43" t="s">
        <v>132</v>
      </c>
      <c r="C70" s="32"/>
      <c r="D70" s="32"/>
      <c r="E70" s="32"/>
      <c r="F70" s="32"/>
      <c r="G70" s="32"/>
      <c r="H70" s="32"/>
      <c r="I70" s="32"/>
      <c r="J70" s="32"/>
      <c r="K70" s="32"/>
      <c r="L70" s="32"/>
      <c r="M70" s="32"/>
      <c r="N70" s="32"/>
      <c r="O70" s="32"/>
      <c r="P70" s="32"/>
      <c r="Q70" s="32"/>
      <c r="R70" s="32"/>
      <c r="S70" s="32"/>
      <c r="T70" s="32"/>
      <c r="U70" s="32"/>
      <c r="V70" s="32"/>
      <c r="W70" s="32"/>
      <c r="X70" s="32"/>
      <c r="Y70" s="32"/>
      <c r="Z70" s="32"/>
    </row>
    <row r="71" spans="1:26" ht="13.5" customHeight="1">
      <c r="A71" s="32"/>
      <c r="B71" s="43" t="s">
        <v>131</v>
      </c>
      <c r="C71" s="32"/>
      <c r="D71" s="32"/>
      <c r="E71" s="32"/>
      <c r="F71" s="32"/>
      <c r="G71" s="32"/>
      <c r="H71" s="32"/>
      <c r="I71" s="32"/>
      <c r="J71" s="32"/>
      <c r="K71" s="32"/>
      <c r="L71" s="32"/>
      <c r="M71" s="32"/>
      <c r="N71" s="32"/>
      <c r="O71" s="32"/>
      <c r="P71" s="32"/>
      <c r="Q71" s="32"/>
      <c r="R71" s="32"/>
      <c r="S71" s="32"/>
      <c r="T71" s="32"/>
      <c r="U71" s="32"/>
      <c r="V71" s="32"/>
      <c r="W71" s="32"/>
      <c r="X71" s="32"/>
      <c r="Y71" s="32"/>
      <c r="Z71" s="32"/>
    </row>
    <row r="72" spans="1:26" ht="13.5" customHeight="1">
      <c r="A72" s="32"/>
      <c r="B72" s="32"/>
      <c r="C72" s="32"/>
      <c r="D72" s="32"/>
      <c r="E72" s="32"/>
      <c r="F72" s="32"/>
      <c r="G72" s="32"/>
      <c r="H72" s="32"/>
      <c r="I72" s="32"/>
      <c r="J72" s="32"/>
      <c r="K72" s="32"/>
      <c r="L72" s="32"/>
      <c r="M72" s="32"/>
      <c r="N72" s="32"/>
      <c r="O72" s="32"/>
      <c r="P72" s="32"/>
      <c r="Q72" s="32"/>
      <c r="R72" s="32"/>
      <c r="S72" s="32"/>
      <c r="T72" s="32"/>
      <c r="U72" s="32"/>
      <c r="V72" s="32"/>
      <c r="W72" s="32"/>
      <c r="X72" s="32"/>
      <c r="Y72" s="32"/>
      <c r="Z72" s="32"/>
    </row>
    <row r="73" spans="1:26" ht="13.5" customHeight="1">
      <c r="A73" s="32"/>
      <c r="B73" s="32"/>
      <c r="C73" s="32"/>
      <c r="D73" s="32"/>
      <c r="E73" s="32"/>
      <c r="F73" s="32"/>
      <c r="G73" s="32"/>
      <c r="H73" s="32"/>
      <c r="I73" s="32"/>
      <c r="J73" s="32"/>
      <c r="K73" s="32"/>
      <c r="L73" s="32"/>
      <c r="M73" s="32"/>
      <c r="N73" s="32"/>
      <c r="O73" s="32"/>
      <c r="P73" s="32"/>
      <c r="Q73" s="32"/>
      <c r="R73" s="32"/>
      <c r="S73" s="32"/>
      <c r="T73" s="32"/>
      <c r="U73" s="32"/>
      <c r="V73" s="32"/>
      <c r="W73" s="32"/>
      <c r="X73" s="32"/>
      <c r="Y73" s="32"/>
      <c r="Z73" s="32"/>
    </row>
    <row r="74" spans="1:26" ht="13.5" customHeight="1">
      <c r="A74" s="32"/>
      <c r="B74" s="32"/>
      <c r="C74" s="32"/>
      <c r="D74" s="32"/>
      <c r="E74" s="32"/>
      <c r="F74" s="32"/>
      <c r="G74" s="32"/>
      <c r="H74" s="32"/>
      <c r="I74" s="32"/>
      <c r="J74" s="32"/>
      <c r="K74" s="32"/>
      <c r="L74" s="32"/>
      <c r="M74" s="32"/>
      <c r="N74" s="32"/>
      <c r="O74" s="32"/>
      <c r="P74" s="32"/>
      <c r="Q74" s="32"/>
      <c r="R74" s="32"/>
      <c r="S74" s="32"/>
      <c r="T74" s="32"/>
      <c r="U74" s="32"/>
      <c r="V74" s="32"/>
      <c r="W74" s="32"/>
      <c r="X74" s="32"/>
      <c r="Y74" s="32"/>
      <c r="Z74" s="32"/>
    </row>
    <row r="75" spans="1:26" ht="13.5" customHeight="1">
      <c r="A75" s="32"/>
      <c r="B75" s="32"/>
      <c r="C75" s="32"/>
      <c r="D75" s="32"/>
      <c r="E75" s="32"/>
      <c r="F75" s="32"/>
      <c r="G75" s="32"/>
      <c r="H75" s="32"/>
      <c r="I75" s="32"/>
      <c r="J75" s="32"/>
      <c r="K75" s="32"/>
      <c r="L75" s="32"/>
      <c r="M75" s="32"/>
      <c r="N75" s="32"/>
      <c r="O75" s="32"/>
      <c r="P75" s="32"/>
      <c r="Q75" s="32"/>
      <c r="R75" s="32"/>
      <c r="S75" s="32"/>
      <c r="T75" s="32"/>
      <c r="U75" s="32"/>
      <c r="V75" s="32"/>
      <c r="W75" s="32"/>
      <c r="X75" s="32"/>
      <c r="Y75" s="32"/>
      <c r="Z75" s="32"/>
    </row>
    <row r="76" spans="1:26" ht="13.5" customHeight="1">
      <c r="A76" s="32"/>
      <c r="B76" s="32"/>
      <c r="C76" s="32"/>
      <c r="D76" s="32"/>
      <c r="E76" s="32"/>
      <c r="F76" s="32"/>
      <c r="G76" s="32"/>
      <c r="H76" s="32"/>
      <c r="I76" s="32"/>
      <c r="J76" s="32"/>
      <c r="K76" s="32"/>
      <c r="L76" s="32"/>
      <c r="M76" s="32"/>
      <c r="N76" s="32"/>
      <c r="O76" s="32"/>
      <c r="P76" s="32"/>
      <c r="Q76" s="32"/>
      <c r="R76" s="32"/>
      <c r="S76" s="32"/>
      <c r="T76" s="32"/>
      <c r="U76" s="32"/>
      <c r="V76" s="32"/>
      <c r="W76" s="32"/>
      <c r="X76" s="32"/>
      <c r="Y76" s="32"/>
      <c r="Z76" s="32"/>
    </row>
    <row r="77" spans="1:26" ht="13.5" customHeight="1">
      <c r="A77" s="32"/>
      <c r="B77" s="32"/>
      <c r="C77" s="32"/>
      <c r="D77" s="32"/>
      <c r="E77" s="32"/>
      <c r="F77" s="32"/>
      <c r="G77" s="32"/>
      <c r="H77" s="32"/>
      <c r="I77" s="32"/>
      <c r="J77" s="32"/>
      <c r="K77" s="32"/>
      <c r="L77" s="32"/>
      <c r="M77" s="32"/>
      <c r="N77" s="32"/>
      <c r="O77" s="32"/>
      <c r="P77" s="32"/>
      <c r="Q77" s="32"/>
      <c r="R77" s="32"/>
      <c r="S77" s="32"/>
      <c r="T77" s="32"/>
      <c r="U77" s="32"/>
      <c r="V77" s="32"/>
      <c r="W77" s="32"/>
      <c r="X77" s="32"/>
      <c r="Y77" s="32"/>
      <c r="Z77" s="32"/>
    </row>
    <row r="78" spans="1:26" ht="13.5" customHeight="1">
      <c r="A78" s="32"/>
      <c r="B78" s="32"/>
      <c r="C78" s="32"/>
      <c r="D78" s="32"/>
      <c r="E78" s="32"/>
      <c r="F78" s="32"/>
      <c r="G78" s="32"/>
      <c r="H78" s="32"/>
      <c r="I78" s="32"/>
      <c r="J78" s="32"/>
      <c r="K78" s="32"/>
      <c r="L78" s="32"/>
      <c r="M78" s="32"/>
      <c r="N78" s="32"/>
      <c r="O78" s="32"/>
      <c r="P78" s="32"/>
      <c r="Q78" s="32"/>
      <c r="R78" s="32"/>
      <c r="S78" s="32"/>
      <c r="T78" s="32"/>
      <c r="U78" s="32"/>
      <c r="V78" s="32"/>
      <c r="W78" s="32"/>
      <c r="X78" s="32"/>
      <c r="Y78" s="32"/>
      <c r="Z78" s="32"/>
    </row>
    <row r="79" spans="1:26" ht="13.5" customHeight="1">
      <c r="A79" s="32"/>
      <c r="B79" s="32"/>
      <c r="C79" s="32"/>
      <c r="D79" s="32"/>
      <c r="E79" s="32"/>
      <c r="F79" s="32"/>
      <c r="G79" s="32"/>
      <c r="H79" s="32"/>
      <c r="I79" s="32"/>
      <c r="J79" s="32"/>
      <c r="K79" s="32"/>
      <c r="L79" s="32"/>
      <c r="M79" s="32"/>
      <c r="N79" s="32"/>
      <c r="O79" s="32"/>
      <c r="P79" s="32"/>
      <c r="Q79" s="32"/>
      <c r="R79" s="32"/>
      <c r="S79" s="32"/>
      <c r="T79" s="32"/>
      <c r="U79" s="32"/>
      <c r="V79" s="32"/>
      <c r="W79" s="32"/>
      <c r="X79" s="32"/>
      <c r="Y79" s="32"/>
      <c r="Z79" s="32"/>
    </row>
    <row r="80" spans="1:26" ht="13.5" customHeight="1">
      <c r="A80" s="32"/>
      <c r="B80" s="32"/>
      <c r="C80" s="32"/>
      <c r="D80" s="32"/>
      <c r="E80" s="32"/>
      <c r="F80" s="32"/>
      <c r="G80" s="32"/>
      <c r="H80" s="32"/>
      <c r="I80" s="32"/>
      <c r="J80" s="32"/>
      <c r="K80" s="32"/>
      <c r="L80" s="32"/>
      <c r="M80" s="32"/>
      <c r="N80" s="32"/>
      <c r="O80" s="32"/>
      <c r="P80" s="32"/>
      <c r="Q80" s="32"/>
      <c r="R80" s="32"/>
      <c r="S80" s="32"/>
      <c r="T80" s="32"/>
      <c r="U80" s="32"/>
      <c r="V80" s="32"/>
      <c r="W80" s="32"/>
      <c r="X80" s="32"/>
      <c r="Y80" s="32"/>
      <c r="Z80" s="32"/>
    </row>
    <row r="81" spans="1:26" ht="13.5" customHeight="1">
      <c r="A81" s="32"/>
      <c r="B81" s="32"/>
      <c r="C81" s="32"/>
      <c r="D81" s="32"/>
      <c r="E81" s="32"/>
      <c r="F81" s="32"/>
      <c r="G81" s="32"/>
      <c r="H81" s="32"/>
      <c r="I81" s="32"/>
      <c r="J81" s="32"/>
      <c r="K81" s="32"/>
      <c r="L81" s="32"/>
      <c r="M81" s="32"/>
      <c r="N81" s="32"/>
      <c r="O81" s="32"/>
      <c r="P81" s="32"/>
      <c r="Q81" s="32"/>
      <c r="R81" s="32"/>
      <c r="S81" s="32"/>
      <c r="T81" s="32"/>
      <c r="U81" s="32"/>
      <c r="V81" s="32"/>
      <c r="W81" s="32"/>
      <c r="X81" s="32"/>
      <c r="Y81" s="32"/>
      <c r="Z81" s="32"/>
    </row>
    <row r="82" spans="1:26" ht="13.5" customHeight="1">
      <c r="A82" s="32"/>
      <c r="B82" s="32"/>
      <c r="C82" s="32"/>
      <c r="D82" s="32"/>
      <c r="E82" s="32"/>
      <c r="F82" s="32"/>
      <c r="G82" s="32"/>
      <c r="H82" s="32"/>
      <c r="I82" s="32"/>
      <c r="J82" s="32"/>
      <c r="K82" s="32"/>
      <c r="L82" s="32"/>
      <c r="M82" s="32"/>
      <c r="N82" s="32"/>
      <c r="O82" s="32"/>
      <c r="P82" s="32"/>
      <c r="Q82" s="32"/>
      <c r="R82" s="32"/>
      <c r="S82" s="32"/>
      <c r="T82" s="32"/>
      <c r="U82" s="32"/>
      <c r="V82" s="32"/>
      <c r="W82" s="32"/>
      <c r="X82" s="32"/>
      <c r="Y82" s="32"/>
      <c r="Z82" s="32"/>
    </row>
    <row r="83" spans="1:26" ht="13.5" customHeight="1">
      <c r="A83" s="32"/>
      <c r="B83" s="32"/>
      <c r="C83" s="32"/>
      <c r="D83" s="32"/>
      <c r="E83" s="32"/>
      <c r="F83" s="32"/>
      <c r="G83" s="32"/>
      <c r="H83" s="32"/>
      <c r="I83" s="32"/>
      <c r="J83" s="32"/>
      <c r="K83" s="32"/>
      <c r="L83" s="32"/>
      <c r="M83" s="32"/>
      <c r="N83" s="32"/>
      <c r="O83" s="32"/>
      <c r="P83" s="32"/>
      <c r="Q83" s="32"/>
      <c r="R83" s="32"/>
      <c r="S83" s="32"/>
      <c r="T83" s="32"/>
      <c r="U83" s="32"/>
      <c r="V83" s="32"/>
      <c r="W83" s="32"/>
      <c r="X83" s="32"/>
      <c r="Y83" s="32"/>
      <c r="Z83" s="32"/>
    </row>
    <row r="84" spans="1:26" ht="13.5" customHeight="1">
      <c r="A84" s="32"/>
      <c r="B84" s="32"/>
      <c r="C84" s="32"/>
      <c r="D84" s="32"/>
      <c r="E84" s="32"/>
      <c r="F84" s="32"/>
      <c r="G84" s="32"/>
      <c r="H84" s="32"/>
      <c r="I84" s="32"/>
      <c r="J84" s="32"/>
      <c r="K84" s="32"/>
      <c r="L84" s="32"/>
      <c r="M84" s="32"/>
      <c r="N84" s="32"/>
      <c r="O84" s="32"/>
      <c r="P84" s="32"/>
      <c r="Q84" s="32"/>
      <c r="R84" s="32"/>
      <c r="S84" s="32"/>
      <c r="T84" s="32"/>
      <c r="U84" s="32"/>
      <c r="V84" s="32"/>
      <c r="W84" s="32"/>
      <c r="X84" s="32"/>
      <c r="Y84" s="32"/>
      <c r="Z84" s="32"/>
    </row>
    <row r="85" spans="1:26" ht="13.5" customHeight="1">
      <c r="A85" s="32"/>
      <c r="B85" s="32"/>
      <c r="C85" s="32"/>
      <c r="D85" s="32"/>
      <c r="E85" s="32"/>
      <c r="F85" s="32"/>
      <c r="G85" s="32"/>
      <c r="H85" s="32"/>
      <c r="I85" s="32"/>
      <c r="J85" s="32"/>
      <c r="K85" s="32"/>
      <c r="L85" s="32"/>
      <c r="M85" s="32"/>
      <c r="N85" s="32"/>
      <c r="O85" s="32"/>
      <c r="P85" s="32"/>
      <c r="Q85" s="32"/>
      <c r="R85" s="32"/>
      <c r="S85" s="32"/>
      <c r="T85" s="32"/>
      <c r="U85" s="32"/>
      <c r="V85" s="32"/>
      <c r="W85" s="32"/>
      <c r="X85" s="32"/>
      <c r="Y85" s="32"/>
      <c r="Z85" s="32"/>
    </row>
    <row r="86" spans="1:26" ht="13.5" customHeight="1">
      <c r="A86" s="32"/>
      <c r="B86" s="32"/>
      <c r="C86" s="32"/>
      <c r="D86" s="32"/>
      <c r="E86" s="32"/>
      <c r="F86" s="32"/>
      <c r="G86" s="32"/>
      <c r="H86" s="32"/>
      <c r="I86" s="32"/>
      <c r="J86" s="32"/>
      <c r="K86" s="32"/>
      <c r="L86" s="32"/>
      <c r="M86" s="32"/>
      <c r="N86" s="32"/>
      <c r="O86" s="32"/>
      <c r="P86" s="32"/>
      <c r="Q86" s="32"/>
      <c r="R86" s="32"/>
      <c r="S86" s="32"/>
      <c r="T86" s="32"/>
      <c r="U86" s="32"/>
      <c r="V86" s="32"/>
      <c r="W86" s="32"/>
      <c r="X86" s="32"/>
      <c r="Y86" s="32"/>
      <c r="Z86" s="32"/>
    </row>
    <row r="87" spans="1:26" ht="13.5" customHeight="1">
      <c r="A87" s="32"/>
      <c r="B87" s="32"/>
      <c r="C87" s="32"/>
      <c r="D87" s="32"/>
      <c r="E87" s="32"/>
      <c r="F87" s="32"/>
      <c r="G87" s="32"/>
      <c r="H87" s="32"/>
      <c r="I87" s="32"/>
      <c r="J87" s="32"/>
      <c r="K87" s="32"/>
      <c r="L87" s="32"/>
      <c r="M87" s="32"/>
      <c r="N87" s="32"/>
      <c r="O87" s="32"/>
      <c r="P87" s="32"/>
      <c r="Q87" s="32"/>
      <c r="R87" s="32"/>
      <c r="S87" s="32"/>
      <c r="T87" s="32"/>
      <c r="U87" s="32"/>
      <c r="V87" s="32"/>
      <c r="W87" s="32"/>
      <c r="X87" s="32"/>
      <c r="Y87" s="32"/>
      <c r="Z87" s="32"/>
    </row>
    <row r="88" spans="1:26" ht="13.5" customHeight="1">
      <c r="A88" s="32"/>
      <c r="B88" s="32"/>
      <c r="C88" s="32"/>
      <c r="D88" s="32"/>
      <c r="E88" s="32"/>
      <c r="F88" s="32"/>
      <c r="G88" s="32"/>
      <c r="H88" s="32"/>
      <c r="I88" s="32"/>
      <c r="J88" s="32"/>
      <c r="K88" s="32"/>
      <c r="L88" s="32"/>
      <c r="M88" s="32"/>
      <c r="N88" s="32"/>
      <c r="O88" s="32"/>
      <c r="P88" s="32"/>
      <c r="Q88" s="32"/>
      <c r="R88" s="32"/>
      <c r="S88" s="32"/>
      <c r="T88" s="32"/>
      <c r="U88" s="32"/>
      <c r="V88" s="32"/>
      <c r="W88" s="32"/>
      <c r="X88" s="32"/>
      <c r="Y88" s="32"/>
      <c r="Z88" s="32"/>
    </row>
    <row r="89" spans="1:26" ht="13.5" customHeight="1">
      <c r="A89" s="32"/>
      <c r="B89" s="32"/>
      <c r="C89" s="32"/>
      <c r="D89" s="32"/>
      <c r="E89" s="32"/>
      <c r="F89" s="32"/>
      <c r="G89" s="32"/>
      <c r="H89" s="32"/>
      <c r="I89" s="32"/>
      <c r="J89" s="32"/>
      <c r="K89" s="32"/>
      <c r="L89" s="32"/>
      <c r="M89" s="32"/>
      <c r="N89" s="32"/>
      <c r="O89" s="32"/>
      <c r="P89" s="32"/>
      <c r="Q89" s="32"/>
      <c r="R89" s="32"/>
      <c r="S89" s="32"/>
      <c r="T89" s="32"/>
      <c r="U89" s="32"/>
      <c r="V89" s="32"/>
      <c r="W89" s="32"/>
      <c r="X89" s="32"/>
      <c r="Y89" s="32"/>
      <c r="Z89" s="32"/>
    </row>
    <row r="90" spans="1:26" ht="13.5" customHeight="1">
      <c r="A90" s="32"/>
      <c r="B90" s="32"/>
      <c r="C90" s="32"/>
      <c r="D90" s="32"/>
      <c r="E90" s="32"/>
      <c r="F90" s="32"/>
      <c r="G90" s="32"/>
      <c r="H90" s="32"/>
      <c r="I90" s="32"/>
      <c r="J90" s="32"/>
      <c r="K90" s="32"/>
      <c r="L90" s="32"/>
      <c r="M90" s="32"/>
      <c r="N90" s="32"/>
      <c r="O90" s="32"/>
      <c r="P90" s="32"/>
      <c r="Q90" s="32"/>
      <c r="R90" s="32"/>
      <c r="S90" s="32"/>
      <c r="T90" s="32"/>
      <c r="U90" s="32"/>
      <c r="V90" s="32"/>
      <c r="W90" s="32"/>
      <c r="X90" s="32"/>
      <c r="Y90" s="32"/>
      <c r="Z90" s="32"/>
    </row>
    <row r="91" spans="1:26" ht="13.5" customHeight="1">
      <c r="A91" s="32"/>
      <c r="B91" s="32"/>
      <c r="C91" s="32"/>
      <c r="D91" s="32"/>
      <c r="E91" s="32"/>
      <c r="F91" s="32"/>
      <c r="G91" s="32"/>
      <c r="H91" s="32"/>
      <c r="I91" s="32"/>
      <c r="J91" s="32"/>
      <c r="K91" s="32"/>
      <c r="L91" s="32"/>
      <c r="M91" s="32"/>
      <c r="N91" s="32"/>
      <c r="O91" s="32"/>
      <c r="P91" s="32"/>
      <c r="Q91" s="32"/>
      <c r="R91" s="32"/>
      <c r="S91" s="32"/>
      <c r="T91" s="32"/>
      <c r="U91" s="32"/>
      <c r="V91" s="32"/>
      <c r="W91" s="32"/>
      <c r="X91" s="32"/>
      <c r="Y91" s="32"/>
      <c r="Z91" s="32"/>
    </row>
    <row r="92" spans="1:26" ht="13.5" customHeight="1">
      <c r="A92" s="32"/>
      <c r="B92" s="32"/>
      <c r="C92" s="32"/>
      <c r="D92" s="32"/>
      <c r="E92" s="32"/>
      <c r="F92" s="32"/>
      <c r="G92" s="32"/>
      <c r="H92" s="32"/>
      <c r="I92" s="32"/>
      <c r="J92" s="32"/>
      <c r="K92" s="32"/>
      <c r="L92" s="32"/>
      <c r="M92" s="32"/>
      <c r="N92" s="32"/>
      <c r="O92" s="32"/>
      <c r="P92" s="32"/>
      <c r="Q92" s="32"/>
      <c r="R92" s="32"/>
      <c r="S92" s="32"/>
      <c r="T92" s="32"/>
      <c r="U92" s="32"/>
      <c r="V92" s="32"/>
      <c r="W92" s="32"/>
      <c r="X92" s="32"/>
      <c r="Y92" s="32"/>
      <c r="Z92" s="32"/>
    </row>
    <row r="93" spans="1:26" ht="13.5" customHeight="1">
      <c r="A93" s="32"/>
      <c r="B93" s="32"/>
      <c r="C93" s="32"/>
      <c r="D93" s="32"/>
      <c r="E93" s="32"/>
      <c r="F93" s="32"/>
      <c r="G93" s="32"/>
      <c r="H93" s="32"/>
      <c r="I93" s="32"/>
      <c r="J93" s="32"/>
      <c r="K93" s="32"/>
      <c r="L93" s="32"/>
      <c r="M93" s="32"/>
      <c r="N93" s="32"/>
      <c r="O93" s="32"/>
      <c r="P93" s="32"/>
      <c r="Q93" s="32"/>
      <c r="R93" s="32"/>
      <c r="S93" s="32"/>
      <c r="T93" s="32"/>
      <c r="U93" s="32"/>
      <c r="V93" s="32"/>
      <c r="W93" s="32"/>
      <c r="X93" s="32"/>
      <c r="Y93" s="32"/>
      <c r="Z93" s="32"/>
    </row>
    <row r="94" spans="1:26" ht="13.5" customHeight="1">
      <c r="A94" s="32"/>
      <c r="B94" s="32"/>
      <c r="C94" s="32"/>
      <c r="D94" s="32"/>
      <c r="E94" s="32"/>
      <c r="F94" s="32"/>
      <c r="G94" s="32"/>
      <c r="H94" s="32"/>
      <c r="I94" s="32"/>
      <c r="J94" s="32"/>
      <c r="K94" s="32"/>
      <c r="L94" s="32"/>
      <c r="M94" s="32"/>
      <c r="N94" s="32"/>
      <c r="O94" s="32"/>
      <c r="P94" s="32"/>
      <c r="Q94" s="32"/>
      <c r="R94" s="32"/>
      <c r="S94" s="32"/>
      <c r="T94" s="32"/>
      <c r="U94" s="32"/>
      <c r="V94" s="32"/>
      <c r="W94" s="32"/>
      <c r="X94" s="32"/>
      <c r="Y94" s="32"/>
      <c r="Z94" s="32"/>
    </row>
    <row r="95" spans="1:26" ht="13.5" customHeight="1">
      <c r="A95" s="32"/>
      <c r="B95" s="32"/>
      <c r="C95" s="32"/>
      <c r="D95" s="32"/>
      <c r="E95" s="32"/>
      <c r="F95" s="32"/>
      <c r="G95" s="32"/>
      <c r="H95" s="32"/>
      <c r="I95" s="32"/>
      <c r="J95" s="32"/>
      <c r="K95" s="32"/>
      <c r="L95" s="32"/>
      <c r="M95" s="32"/>
      <c r="N95" s="32"/>
      <c r="O95" s="32"/>
      <c r="P95" s="32"/>
      <c r="Q95" s="32"/>
      <c r="R95" s="32"/>
      <c r="S95" s="32"/>
      <c r="T95" s="32"/>
      <c r="U95" s="32"/>
      <c r="V95" s="32"/>
      <c r="W95" s="32"/>
      <c r="X95" s="32"/>
      <c r="Y95" s="32"/>
      <c r="Z95" s="32"/>
    </row>
    <row r="96" spans="1:26" ht="13.5" customHeight="1">
      <c r="A96" s="32"/>
      <c r="B96" s="32"/>
      <c r="C96" s="32"/>
      <c r="D96" s="32"/>
      <c r="E96" s="32"/>
      <c r="F96" s="32"/>
      <c r="G96" s="32"/>
      <c r="H96" s="32"/>
      <c r="I96" s="32"/>
      <c r="J96" s="32"/>
      <c r="K96" s="32"/>
      <c r="L96" s="32"/>
      <c r="M96" s="32"/>
      <c r="N96" s="32"/>
      <c r="O96" s="32"/>
      <c r="P96" s="32"/>
      <c r="Q96" s="32"/>
      <c r="R96" s="32"/>
      <c r="S96" s="32"/>
      <c r="T96" s="32"/>
      <c r="U96" s="32"/>
      <c r="V96" s="32"/>
      <c r="W96" s="32"/>
      <c r="X96" s="32"/>
      <c r="Y96" s="32"/>
      <c r="Z96" s="32"/>
    </row>
    <row r="97" spans="1:26" ht="13.5" customHeight="1">
      <c r="A97" s="32"/>
      <c r="B97" s="32"/>
      <c r="C97" s="32"/>
      <c r="D97" s="32"/>
      <c r="E97" s="32"/>
      <c r="F97" s="32"/>
      <c r="G97" s="32"/>
      <c r="H97" s="32"/>
      <c r="I97" s="32"/>
      <c r="J97" s="32"/>
      <c r="K97" s="32"/>
      <c r="L97" s="32"/>
      <c r="M97" s="32"/>
      <c r="N97" s="32"/>
      <c r="O97" s="32"/>
      <c r="P97" s="32"/>
      <c r="Q97" s="32"/>
      <c r="R97" s="32"/>
      <c r="S97" s="32"/>
      <c r="T97" s="32"/>
      <c r="U97" s="32"/>
      <c r="V97" s="32"/>
      <c r="W97" s="32"/>
      <c r="X97" s="32"/>
      <c r="Y97" s="32"/>
      <c r="Z97" s="32"/>
    </row>
    <row r="98" spans="1:26" ht="13.5" customHeight="1">
      <c r="A98" s="32"/>
      <c r="B98" s="32"/>
      <c r="C98" s="32"/>
      <c r="D98" s="32"/>
      <c r="E98" s="32"/>
      <c r="F98" s="32"/>
      <c r="G98" s="32"/>
      <c r="H98" s="32"/>
      <c r="I98" s="32"/>
      <c r="J98" s="32"/>
      <c r="K98" s="32"/>
      <c r="L98" s="32"/>
      <c r="M98" s="32"/>
      <c r="N98" s="32"/>
      <c r="O98" s="32"/>
      <c r="P98" s="32"/>
      <c r="Q98" s="32"/>
      <c r="R98" s="32"/>
      <c r="S98" s="32"/>
      <c r="T98" s="32"/>
      <c r="U98" s="32"/>
      <c r="V98" s="32"/>
      <c r="W98" s="32"/>
      <c r="X98" s="32"/>
      <c r="Y98" s="32"/>
      <c r="Z98" s="32"/>
    </row>
    <row r="99" spans="1:26" ht="13.5" customHeight="1">
      <c r="A99" s="32"/>
      <c r="B99" s="32"/>
      <c r="C99" s="32"/>
      <c r="D99" s="32"/>
      <c r="E99" s="32"/>
      <c r="F99" s="32"/>
      <c r="G99" s="32"/>
      <c r="H99" s="32"/>
      <c r="I99" s="32"/>
      <c r="J99" s="32"/>
      <c r="K99" s="32"/>
      <c r="L99" s="32"/>
      <c r="M99" s="32"/>
      <c r="N99" s="32"/>
      <c r="O99" s="32"/>
      <c r="P99" s="32"/>
      <c r="Q99" s="32"/>
      <c r="R99" s="32"/>
      <c r="S99" s="32"/>
      <c r="T99" s="32"/>
      <c r="U99" s="32"/>
      <c r="V99" s="32"/>
      <c r="W99" s="32"/>
      <c r="X99" s="32"/>
      <c r="Y99" s="32"/>
      <c r="Z99" s="32"/>
    </row>
    <row r="100" spans="1:26" ht="13.5" customHeight="1">
      <c r="A100" s="32"/>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row>
    <row r="101" spans="1:26" ht="13.5" customHeight="1">
      <c r="A101" s="32"/>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row>
    <row r="102" spans="1:26" ht="13.5" customHeight="1">
      <c r="A102" s="32"/>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row>
    <row r="103" spans="1:26" ht="13.5" customHeight="1">
      <c r="A103" s="32"/>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row>
    <row r="104" spans="1:26" ht="13.5" customHeight="1">
      <c r="A104" s="32"/>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row>
    <row r="105" spans="1:26" ht="13.5" customHeight="1">
      <c r="A105" s="32"/>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row>
    <row r="106" spans="1:26" ht="13.5" customHeight="1">
      <c r="A106" s="32"/>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row>
    <row r="107" spans="1:26" ht="13.5" customHeight="1">
      <c r="A107" s="32"/>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row>
    <row r="108" spans="1:26" ht="13.5" customHeight="1">
      <c r="A108" s="32"/>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row>
    <row r="109" spans="1:26" ht="13.5" customHeight="1">
      <c r="A109" s="32"/>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row>
    <row r="110" spans="1:26" ht="13.5" customHeight="1">
      <c r="A110" s="32"/>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row>
    <row r="111" spans="1:26" ht="13.5" customHeight="1">
      <c r="A111" s="32"/>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row>
    <row r="112" spans="1:26" ht="13.5" customHeight="1">
      <c r="A112" s="32"/>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row>
    <row r="113" spans="1:26" ht="13.5" customHeight="1">
      <c r="A113" s="32"/>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row>
    <row r="114" spans="1:26" ht="13.5" customHeight="1">
      <c r="A114" s="32"/>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row>
    <row r="115" spans="1:26" ht="13.5" customHeight="1">
      <c r="A115" s="32"/>
      <c r="B115" s="32"/>
      <c r="C115" s="32"/>
      <c r="D115" s="32"/>
      <c r="E115" s="32"/>
      <c r="F115" s="32"/>
      <c r="G115" s="32"/>
      <c r="H115" s="32"/>
      <c r="I115" s="32"/>
      <c r="J115" s="32"/>
      <c r="K115" s="32"/>
      <c r="L115" s="32"/>
      <c r="M115" s="32"/>
      <c r="N115" s="32"/>
      <c r="O115" s="32"/>
      <c r="P115" s="32"/>
      <c r="Q115" s="32"/>
      <c r="R115" s="32"/>
      <c r="S115" s="32"/>
      <c r="T115" s="32"/>
      <c r="U115" s="32"/>
      <c r="V115" s="32"/>
      <c r="W115" s="32"/>
      <c r="X115" s="32"/>
      <c r="Y115" s="32"/>
      <c r="Z115" s="32"/>
    </row>
    <row r="116" spans="1:26" ht="13.5" customHeight="1">
      <c r="A116" s="32"/>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row>
    <row r="117" spans="1:26" ht="13.5" customHeight="1">
      <c r="A117" s="32"/>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row>
    <row r="118" spans="1:26" ht="13.5" customHeight="1">
      <c r="A118" s="32"/>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row>
    <row r="119" spans="1:26" ht="13.5" customHeight="1">
      <c r="A119" s="32"/>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row>
    <row r="120" spans="1:26" ht="13.5" customHeight="1">
      <c r="A120" s="32"/>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row>
    <row r="121" spans="1:26" ht="13.5" customHeight="1">
      <c r="A121" s="32"/>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row>
    <row r="122" spans="1:26" ht="13.5" customHeight="1">
      <c r="A122" s="32"/>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row>
    <row r="123" spans="1:26" ht="13.5" customHeight="1">
      <c r="A123" s="32"/>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row>
    <row r="124" spans="1:26" ht="13.5" customHeight="1">
      <c r="A124" s="32"/>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row>
    <row r="125" spans="1:26" ht="13.5" customHeight="1">
      <c r="A125" s="32"/>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row>
    <row r="126" spans="1:26" ht="13.5" customHeight="1">
      <c r="A126" s="32"/>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row>
    <row r="127" spans="1:26" ht="13.5" customHeight="1">
      <c r="A127" s="32"/>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row>
    <row r="128" spans="1:26" ht="13.5" customHeight="1">
      <c r="A128" s="32"/>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row>
    <row r="129" spans="1:26" ht="13.5" customHeight="1">
      <c r="A129" s="32"/>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row>
    <row r="130" spans="1:26" ht="13.5" customHeight="1">
      <c r="A130" s="32"/>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row>
    <row r="131" spans="1:26" ht="13.5" customHeight="1">
      <c r="A131" s="32"/>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row>
    <row r="132" spans="1:26" ht="13.5" customHeight="1">
      <c r="A132" s="32"/>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row>
    <row r="133" spans="1:26" ht="13.5" customHeight="1">
      <c r="A133" s="32"/>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row>
    <row r="134" spans="1:26" ht="13.5" customHeight="1">
      <c r="A134" s="32"/>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row>
    <row r="135" spans="1:26" ht="13.5" customHeight="1">
      <c r="A135" s="32"/>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row>
    <row r="136" spans="1:26" ht="13.5" customHeight="1">
      <c r="A136" s="32"/>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row>
    <row r="137" spans="1:26" ht="13.5" customHeight="1">
      <c r="A137" s="32"/>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row>
    <row r="138" spans="1:26" ht="13.5" customHeight="1">
      <c r="A138" s="32"/>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row>
    <row r="139" spans="1:26" ht="13.5" customHeight="1">
      <c r="A139" s="32"/>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row>
    <row r="140" spans="1:26" ht="13.5" customHeight="1">
      <c r="A140" s="32"/>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row>
    <row r="141" spans="1:26" ht="13.5" customHeight="1">
      <c r="A141" s="32"/>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row>
    <row r="142" spans="1:26" ht="13.5" customHeight="1">
      <c r="A142" s="32"/>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row>
    <row r="143" spans="1:26" ht="13.5" customHeight="1">
      <c r="A143" s="32"/>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row>
    <row r="144" spans="1:26" ht="13.5" customHeight="1">
      <c r="A144" s="32"/>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row>
    <row r="145" spans="1:26" ht="13.5" customHeight="1">
      <c r="A145" s="32"/>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row>
    <row r="146" spans="1:26" ht="13.5" customHeight="1">
      <c r="A146" s="32"/>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row>
    <row r="147" spans="1:26" ht="13.5" customHeight="1">
      <c r="A147" s="32"/>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row>
    <row r="148" spans="1:26" ht="13.5" customHeight="1">
      <c r="A148" s="32"/>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row>
    <row r="149" spans="1:26" ht="13.5" customHeight="1">
      <c r="A149" s="32"/>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row>
    <row r="150" spans="1:26" ht="13.5" customHeight="1">
      <c r="A150" s="32"/>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row>
    <row r="151" spans="1:26" ht="13.5" customHeight="1">
      <c r="A151" s="32"/>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row>
    <row r="152" spans="1:26" ht="13.5" customHeight="1">
      <c r="A152" s="32"/>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row>
    <row r="153" spans="1:26" ht="13.5" customHeight="1">
      <c r="A153" s="32"/>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row>
    <row r="154" spans="1:26" ht="13.5" customHeight="1">
      <c r="A154" s="32"/>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row>
    <row r="155" spans="1:26" ht="13.5" customHeight="1">
      <c r="A155" s="32"/>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row>
    <row r="156" spans="1:26" ht="13.5" customHeight="1">
      <c r="A156" s="32"/>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row>
    <row r="157" spans="1:26" ht="13.5" customHeight="1">
      <c r="A157" s="32"/>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row>
    <row r="158" spans="1:26" ht="13.5" customHeight="1">
      <c r="A158" s="32"/>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row>
    <row r="159" spans="1:26" ht="13.5" customHeight="1">
      <c r="A159" s="32"/>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row>
    <row r="160" spans="1:26" ht="13.5" customHeight="1">
      <c r="A160" s="32"/>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row>
    <row r="161" spans="1:26" ht="13.5" customHeight="1">
      <c r="A161" s="32"/>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row>
    <row r="162" spans="1:26" ht="13.5" customHeight="1">
      <c r="A162" s="32"/>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row>
    <row r="163" spans="1:26" ht="13.5" customHeight="1">
      <c r="A163" s="32"/>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row>
    <row r="164" spans="1:26" ht="13.5" customHeight="1">
      <c r="A164" s="32"/>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row>
    <row r="165" spans="1:26" ht="13.5" customHeight="1">
      <c r="A165" s="32"/>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row>
    <row r="166" spans="1:26" ht="13.5" customHeight="1">
      <c r="A166" s="32"/>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row>
    <row r="167" spans="1:26" ht="13.5" customHeight="1">
      <c r="A167" s="32"/>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row>
    <row r="168" spans="1:26" ht="13.5" customHeight="1">
      <c r="A168" s="32"/>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row>
    <row r="169" spans="1:26" ht="13.5" customHeight="1">
      <c r="A169" s="32"/>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row>
    <row r="170" spans="1:26" ht="13.5" customHeight="1">
      <c r="A170" s="32"/>
      <c r="B170" s="32"/>
      <c r="C170" s="32"/>
      <c r="D170" s="32"/>
      <c r="E170" s="32"/>
      <c r="F170" s="32"/>
      <c r="G170" s="32"/>
      <c r="H170" s="32"/>
      <c r="I170" s="32"/>
      <c r="J170" s="32"/>
      <c r="K170" s="32"/>
      <c r="L170" s="32"/>
      <c r="M170" s="32"/>
      <c r="N170" s="32"/>
      <c r="O170" s="32"/>
      <c r="P170" s="32"/>
      <c r="Q170" s="32"/>
      <c r="R170" s="32"/>
      <c r="S170" s="32"/>
      <c r="T170" s="32"/>
      <c r="U170" s="32"/>
      <c r="V170" s="32"/>
      <c r="W170" s="32"/>
      <c r="X170" s="32"/>
      <c r="Y170" s="32"/>
      <c r="Z170" s="32"/>
    </row>
    <row r="171" spans="1:26" ht="13.5" customHeight="1">
      <c r="A171" s="32"/>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row>
    <row r="172" spans="1:26" ht="13.5" customHeight="1">
      <c r="A172" s="32"/>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row>
    <row r="173" spans="1:26" ht="13.5" customHeight="1">
      <c r="A173" s="32"/>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row>
    <row r="174" spans="1:26" ht="13.5" customHeight="1">
      <c r="A174" s="32"/>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row>
    <row r="175" spans="1:26" ht="13.5" customHeight="1">
      <c r="A175" s="32"/>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row>
    <row r="176" spans="1:26" ht="13.5" customHeight="1">
      <c r="A176" s="32"/>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row>
    <row r="177" spans="1:26" ht="13.5" customHeight="1">
      <c r="A177" s="32"/>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row>
    <row r="178" spans="1:26" ht="13.5" customHeight="1">
      <c r="A178" s="32"/>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row>
    <row r="179" spans="1:26" ht="13.5" customHeight="1">
      <c r="A179" s="32"/>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row>
    <row r="180" spans="1:26" ht="13.5" customHeight="1">
      <c r="A180" s="32"/>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row>
    <row r="181" spans="1:26" ht="13.5" customHeight="1">
      <c r="A181" s="32"/>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row>
    <row r="182" spans="1:26" ht="13.5" customHeight="1">
      <c r="A182" s="32"/>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row>
    <row r="183" spans="1:26" ht="13.5" customHeight="1">
      <c r="A183" s="32"/>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row>
    <row r="184" spans="1:26" ht="13.5" customHeight="1">
      <c r="A184" s="32"/>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row>
    <row r="185" spans="1:26" ht="13.5" customHeight="1">
      <c r="A185" s="32"/>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row>
    <row r="186" spans="1:26" ht="13.5" customHeight="1">
      <c r="A186" s="32"/>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row>
    <row r="187" spans="1:26" ht="13.5" customHeight="1">
      <c r="A187" s="32"/>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row>
    <row r="188" spans="1:26" ht="13.5" customHeight="1">
      <c r="A188" s="32"/>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row>
    <row r="189" spans="1:26" ht="13.5" customHeight="1">
      <c r="A189" s="32"/>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row>
    <row r="190" spans="1:26" ht="13.5" customHeight="1">
      <c r="A190" s="32"/>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row>
    <row r="191" spans="1:26" ht="13.5" customHeight="1">
      <c r="A191" s="32"/>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row>
    <row r="192" spans="1:26" ht="13.5" customHeight="1">
      <c r="A192" s="32"/>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row>
    <row r="193" spans="1:26" ht="13.5" customHeight="1">
      <c r="A193" s="32"/>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row>
    <row r="194" spans="1:26" ht="13.5" customHeight="1">
      <c r="A194" s="32"/>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row>
    <row r="195" spans="1:26" ht="13.5" customHeight="1">
      <c r="A195" s="32"/>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row>
    <row r="196" spans="1:26" ht="13.5" customHeight="1">
      <c r="A196" s="32"/>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row>
    <row r="197" spans="1:26" ht="13.5" customHeight="1">
      <c r="A197" s="32"/>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row>
    <row r="198" spans="1:26" ht="13.5" customHeight="1">
      <c r="A198" s="32"/>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row>
    <row r="199" spans="1:26" ht="13.5" customHeight="1">
      <c r="A199" s="32"/>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row>
    <row r="200" spans="1:26" ht="13.5" customHeight="1">
      <c r="A200" s="32"/>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row>
    <row r="201" spans="1:26" ht="13.5" customHeight="1">
      <c r="A201" s="32"/>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row>
    <row r="202" spans="1:26" ht="13.5" customHeight="1">
      <c r="A202" s="32"/>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row>
    <row r="203" spans="1:26" ht="13.5" customHeight="1">
      <c r="A203" s="32"/>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row>
    <row r="204" spans="1:26" ht="13.5" customHeight="1">
      <c r="A204" s="32"/>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row>
    <row r="205" spans="1:26" ht="13.5" customHeight="1">
      <c r="A205" s="32"/>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row>
    <row r="206" spans="1:26" ht="13.5" customHeight="1">
      <c r="A206" s="32"/>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row>
    <row r="207" spans="1:26" ht="13.5" customHeight="1">
      <c r="A207" s="32"/>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row>
    <row r="208" spans="1:26" ht="13.5" customHeight="1">
      <c r="A208" s="32"/>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row>
    <row r="209" spans="1:26" ht="13.5" customHeight="1">
      <c r="A209" s="32"/>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row>
    <row r="210" spans="1:26" ht="13.5" customHeight="1">
      <c r="A210" s="32"/>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row>
    <row r="211" spans="1:26" ht="13.5" customHeight="1">
      <c r="A211" s="32"/>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row>
    <row r="212" spans="1:26" ht="13.5" customHeight="1">
      <c r="A212" s="32"/>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row>
    <row r="213" spans="1:26" ht="13.5" customHeight="1">
      <c r="A213" s="32"/>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row>
    <row r="214" spans="1:26" ht="13.5" customHeight="1">
      <c r="A214" s="32"/>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row>
    <row r="215" spans="1:26" ht="13.5" customHeight="1">
      <c r="A215" s="32"/>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row>
    <row r="216" spans="1:26" ht="13.5" customHeight="1">
      <c r="A216" s="32"/>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row>
    <row r="217" spans="1:26" ht="13.5" customHeight="1">
      <c r="A217" s="32"/>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row>
    <row r="218" spans="1:26" ht="13.5" customHeight="1">
      <c r="A218" s="32"/>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row>
    <row r="219" spans="1:26" ht="13.5" customHeight="1">
      <c r="A219" s="32"/>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row>
    <row r="220" spans="1:26" ht="13.5" customHeight="1">
      <c r="A220" s="32"/>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row>
    <row r="221" spans="1:26" ht="13.5" customHeight="1">
      <c r="A221" s="32"/>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row>
    <row r="222" spans="1:26" ht="13.5" customHeight="1">
      <c r="A222" s="32"/>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row>
    <row r="223" spans="1:26" ht="13.5" customHeight="1">
      <c r="A223" s="32"/>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row>
    <row r="224" spans="1:26" ht="13.5" customHeight="1">
      <c r="A224" s="32"/>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row>
    <row r="225" spans="1:26" ht="13.5" customHeight="1">
      <c r="A225" s="32"/>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row>
    <row r="226" spans="1:26" ht="13.5" customHeight="1">
      <c r="A226" s="32"/>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row>
    <row r="227" spans="1:26" ht="13.5" customHeight="1">
      <c r="A227" s="32"/>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row>
    <row r="228" spans="1:26" ht="13.5" customHeight="1">
      <c r="A228" s="32"/>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row>
    <row r="229" spans="1:26" ht="13.5" customHeight="1">
      <c r="A229" s="32"/>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row>
    <row r="230" spans="1:26" ht="13.5" customHeight="1">
      <c r="A230" s="32"/>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row>
    <row r="231" spans="1:26" ht="13.5" customHeight="1">
      <c r="A231" s="32"/>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row>
    <row r="232" spans="1:26" ht="13.5" customHeight="1">
      <c r="A232" s="32"/>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row>
    <row r="233" spans="1:26" ht="13.5" customHeight="1">
      <c r="A233" s="32"/>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row>
    <row r="234" spans="1:26" ht="13.5" customHeight="1">
      <c r="A234" s="32"/>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row>
    <row r="235" spans="1:26" ht="13.5" customHeight="1">
      <c r="A235" s="32"/>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row>
    <row r="236" spans="1:26" ht="13.5" customHeight="1">
      <c r="A236" s="32"/>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row>
    <row r="237" spans="1:26" ht="13.5" customHeight="1">
      <c r="A237" s="32"/>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row>
    <row r="238" spans="1:26" ht="13.5" customHeight="1">
      <c r="A238" s="32"/>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row>
    <row r="239" spans="1:26" ht="13.5" customHeight="1">
      <c r="A239" s="32"/>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row>
    <row r="240" spans="1:26" ht="13.5" customHeight="1">
      <c r="A240" s="32"/>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row>
    <row r="241" spans="1:26" ht="13.5" customHeight="1">
      <c r="A241" s="32"/>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row>
    <row r="242" spans="1:26" ht="13.5" customHeight="1">
      <c r="A242" s="32"/>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row>
    <row r="243" spans="1:26" ht="13.5" customHeight="1">
      <c r="A243" s="32"/>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row>
    <row r="244" spans="1:26" ht="13.5" customHeight="1">
      <c r="A244" s="32"/>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row>
    <row r="245" spans="1:26" ht="13.5" customHeight="1">
      <c r="A245" s="32"/>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row>
    <row r="246" spans="1:26" ht="13.5" customHeight="1">
      <c r="A246" s="32"/>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row>
    <row r="247" spans="1:26" ht="13.5" customHeight="1">
      <c r="A247" s="32"/>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row>
    <row r="248" spans="1:26" ht="13.5" customHeight="1">
      <c r="A248" s="32"/>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row>
    <row r="249" spans="1:26" ht="13.5" customHeight="1">
      <c r="A249" s="32"/>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row>
    <row r="250" spans="1:26" ht="13.5" customHeight="1">
      <c r="A250" s="32"/>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row>
    <row r="251" spans="1:26" ht="13.5" customHeight="1">
      <c r="A251" s="32"/>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row>
    <row r="252" spans="1:26" ht="13.5" customHeight="1">
      <c r="A252" s="32"/>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row>
    <row r="253" spans="1:26" ht="13.5" customHeight="1">
      <c r="A253" s="32"/>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row>
    <row r="254" spans="1:26" ht="13.5" customHeight="1">
      <c r="A254" s="32"/>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row>
    <row r="255" spans="1:26" ht="13.5" customHeight="1">
      <c r="A255" s="32"/>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row>
    <row r="256" spans="1:26" ht="13.5" customHeight="1">
      <c r="A256" s="32"/>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row>
    <row r="257" spans="1:26" ht="13.5" customHeight="1">
      <c r="A257" s="32"/>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row>
    <row r="258" spans="1:26" ht="13.5" customHeight="1">
      <c r="A258" s="32"/>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row>
    <row r="259" spans="1:26" ht="13.5" customHeight="1">
      <c r="A259" s="32"/>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row>
    <row r="260" spans="1:26" ht="13.5" customHeight="1">
      <c r="A260" s="32"/>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row>
    <row r="261" spans="1:26" ht="13.5" customHeight="1">
      <c r="A261" s="32"/>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row>
    <row r="262" spans="1:26" ht="13.5" customHeight="1">
      <c r="A262" s="32"/>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row>
    <row r="263" spans="1:26" ht="13.5" customHeight="1">
      <c r="A263" s="32"/>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row>
    <row r="264" spans="1:26" ht="13.5" customHeight="1">
      <c r="A264" s="32"/>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row>
    <row r="265" spans="1:26" ht="13.5" customHeight="1">
      <c r="A265" s="32"/>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row>
    <row r="266" spans="1:26" ht="13.5" customHeight="1">
      <c r="A266" s="32"/>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row>
    <row r="267" spans="1:26" ht="13.5" customHeight="1">
      <c r="A267" s="32"/>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row>
    <row r="268" spans="1:26" ht="13.5" customHeight="1">
      <c r="A268" s="32"/>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row>
    <row r="269" spans="1:26" ht="13.5" customHeight="1">
      <c r="A269" s="32"/>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row>
    <row r="270" spans="1:26" ht="13.5" customHeight="1">
      <c r="A270" s="32"/>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row>
    <row r="271" spans="1:26" ht="13.5" customHeight="1">
      <c r="A271" s="32"/>
      <c r="B271" s="32"/>
      <c r="C271" s="32"/>
      <c r="D271" s="32"/>
      <c r="E271" s="32"/>
      <c r="F271" s="32"/>
      <c r="G271" s="32"/>
      <c r="H271" s="32"/>
      <c r="I271" s="32"/>
      <c r="J271" s="32"/>
      <c r="K271" s="32"/>
      <c r="L271" s="32"/>
      <c r="M271" s="32"/>
      <c r="N271" s="32"/>
      <c r="O271" s="32"/>
      <c r="P271" s="32"/>
      <c r="Q271" s="32"/>
      <c r="R271" s="32"/>
      <c r="S271" s="32"/>
      <c r="T271" s="32"/>
      <c r="U271" s="32"/>
      <c r="V271" s="32"/>
      <c r="W271" s="32"/>
      <c r="X271" s="32"/>
      <c r="Y271" s="32"/>
      <c r="Z271" s="32"/>
    </row>
    <row r="272" spans="1:26" ht="13.5" customHeight="1">
      <c r="A272" s="32"/>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row>
    <row r="273" spans="1:26" ht="13.5" customHeight="1">
      <c r="A273" s="32"/>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row>
    <row r="274" spans="1:26" ht="13.5" customHeight="1">
      <c r="A274" s="32"/>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row>
    <row r="275" spans="1:26" ht="13.5" customHeight="1">
      <c r="A275" s="32"/>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row>
    <row r="276" spans="1:26" ht="13.5" customHeight="1">
      <c r="A276" s="32"/>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row>
    <row r="277" spans="1:26" ht="13.5" customHeight="1">
      <c r="A277" s="32"/>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row>
    <row r="278" spans="1:26" ht="13.5" customHeight="1">
      <c r="A278" s="32"/>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row>
    <row r="279" spans="1:26" ht="13.5" customHeight="1">
      <c r="A279" s="32"/>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row>
    <row r="280" spans="1:26" ht="13.5" customHeight="1">
      <c r="A280" s="32"/>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row>
    <row r="281" spans="1:26" ht="13.5" customHeight="1">
      <c r="A281" s="32"/>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row>
    <row r="282" spans="1:26" ht="13.5" customHeight="1">
      <c r="A282" s="32"/>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row>
    <row r="283" spans="1:26" ht="13.5" customHeight="1">
      <c r="A283" s="32"/>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row>
    <row r="284" spans="1:26" ht="13.5" customHeight="1">
      <c r="A284" s="32"/>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row>
    <row r="285" spans="1:26" ht="13.5" customHeight="1">
      <c r="A285" s="32"/>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row>
    <row r="286" spans="1:26" ht="13.5" customHeight="1">
      <c r="A286" s="32"/>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row>
    <row r="287" spans="1:26" ht="13.5" customHeight="1">
      <c r="A287" s="32"/>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row>
    <row r="288" spans="1:26" ht="13.5" customHeight="1">
      <c r="A288" s="32"/>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row>
    <row r="289" spans="1:26" ht="13.5" customHeight="1">
      <c r="A289" s="32"/>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row>
    <row r="290" spans="1:26" ht="13.5" customHeight="1">
      <c r="A290" s="32"/>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row>
    <row r="291" spans="1:26" ht="13.5" customHeight="1">
      <c r="A291" s="32"/>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row>
    <row r="292" spans="1:26" ht="13.5" customHeight="1">
      <c r="A292" s="32"/>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row>
    <row r="293" spans="1:26" ht="13.5" customHeight="1">
      <c r="A293" s="32"/>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row>
    <row r="294" spans="1:26" ht="13.5" customHeight="1">
      <c r="A294" s="32"/>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row>
    <row r="295" spans="1:26" ht="13.5" customHeight="1">
      <c r="A295" s="32"/>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row>
    <row r="296" spans="1:26" ht="13.5" customHeight="1">
      <c r="A296" s="32"/>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row>
    <row r="297" spans="1:26" ht="13.5" customHeight="1">
      <c r="A297" s="32"/>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row>
    <row r="298" spans="1:26" ht="13.5" customHeight="1">
      <c r="A298" s="32"/>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row>
    <row r="299" spans="1:26" ht="13.5" customHeight="1">
      <c r="A299" s="32"/>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row>
    <row r="300" spans="1:26" ht="13.5" customHeight="1">
      <c r="A300" s="32"/>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row>
    <row r="301" spans="1:26" ht="13.5" customHeight="1">
      <c r="A301" s="32"/>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row>
    <row r="302" spans="1:26" ht="13.5" customHeight="1">
      <c r="A302" s="32"/>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row>
    <row r="303" spans="1:26" ht="13.5" customHeight="1">
      <c r="A303" s="32"/>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row>
    <row r="304" spans="1:26" ht="13.5" customHeight="1">
      <c r="A304" s="32"/>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row>
    <row r="305" spans="1:26" ht="13.5" customHeight="1">
      <c r="A305" s="32"/>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row>
    <row r="306" spans="1:26" ht="13.5" customHeight="1">
      <c r="A306" s="32"/>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row>
    <row r="307" spans="1:26" ht="13.5" customHeight="1">
      <c r="A307" s="32"/>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row>
    <row r="308" spans="1:26" ht="13.5" customHeight="1">
      <c r="A308" s="32"/>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row>
    <row r="309" spans="1:26" ht="13.5" customHeight="1">
      <c r="A309" s="32"/>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row>
    <row r="310" spans="1:26" ht="13.5" customHeight="1">
      <c r="A310" s="32"/>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row>
    <row r="311" spans="1:26" ht="13.5" customHeight="1">
      <c r="A311" s="32"/>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row>
    <row r="312" spans="1:26" ht="13.5" customHeight="1">
      <c r="A312" s="32"/>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row>
    <row r="313" spans="1:26" ht="13.5" customHeight="1">
      <c r="A313" s="32"/>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row>
    <row r="314" spans="1:26" ht="13.5" customHeight="1">
      <c r="A314" s="32"/>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row>
    <row r="315" spans="1:26" ht="13.5" customHeight="1">
      <c r="A315" s="32"/>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row>
    <row r="316" spans="1:26" ht="13.5" customHeight="1">
      <c r="A316" s="32"/>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row>
    <row r="317" spans="1:26" ht="13.5" customHeight="1">
      <c r="A317" s="32"/>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row>
    <row r="318" spans="1:26" ht="13.5" customHeight="1">
      <c r="A318" s="32"/>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row>
    <row r="319" spans="1:26" ht="13.5" customHeight="1">
      <c r="A319" s="32"/>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row>
    <row r="320" spans="1:26" ht="13.5" customHeight="1">
      <c r="A320" s="32"/>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row>
    <row r="321" spans="1:26" ht="13.5" customHeight="1">
      <c r="A321" s="32"/>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row>
    <row r="322" spans="1:26" ht="13.5" customHeight="1">
      <c r="A322" s="32"/>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row>
    <row r="323" spans="1:26" ht="13.5" customHeight="1">
      <c r="A323" s="32"/>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row>
    <row r="324" spans="1:26" ht="13.5" customHeight="1">
      <c r="A324" s="32"/>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row>
    <row r="325" spans="1:26" ht="13.5" customHeight="1">
      <c r="A325" s="32"/>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row>
    <row r="326" spans="1:26" ht="13.5" customHeight="1">
      <c r="A326" s="32"/>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row>
    <row r="327" spans="1:26" ht="13.5" customHeight="1">
      <c r="A327" s="32"/>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row>
    <row r="328" spans="1:26" ht="13.5" customHeight="1">
      <c r="A328" s="32"/>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row>
    <row r="329" spans="1:26" ht="13.5" customHeight="1">
      <c r="A329" s="32"/>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row>
    <row r="330" spans="1:26" ht="13.5" customHeight="1">
      <c r="A330" s="32"/>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row>
    <row r="331" spans="1:26" ht="13.5" customHeight="1">
      <c r="A331" s="32"/>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row>
    <row r="332" spans="1:26" ht="13.5" customHeight="1">
      <c r="A332" s="32"/>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row>
    <row r="333" spans="1:26" ht="13.5" customHeight="1">
      <c r="A333" s="32"/>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row>
    <row r="334" spans="1:26" ht="13.5" customHeight="1">
      <c r="A334" s="32"/>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row>
    <row r="335" spans="1:26" ht="13.5" customHeight="1">
      <c r="A335" s="32"/>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row>
    <row r="336" spans="1:26" ht="13.5" customHeight="1">
      <c r="A336" s="32"/>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row>
    <row r="337" spans="1:26" ht="13.5" customHeight="1">
      <c r="A337" s="32"/>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row>
    <row r="338" spans="1:26" ht="13.5" customHeight="1">
      <c r="A338" s="32"/>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row>
    <row r="339" spans="1:26" ht="13.5" customHeight="1">
      <c r="A339" s="32"/>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row>
    <row r="340" spans="1:26" ht="13.5" customHeight="1">
      <c r="A340" s="32"/>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row>
    <row r="341" spans="1:26" ht="13.5" customHeight="1">
      <c r="A341" s="32"/>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row>
    <row r="342" spans="1:26" ht="13.5" customHeight="1">
      <c r="A342" s="32"/>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row>
    <row r="343" spans="1:26" ht="13.5" customHeight="1">
      <c r="A343" s="32"/>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row>
    <row r="344" spans="1:26" ht="13.5" customHeight="1">
      <c r="A344" s="32"/>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row>
    <row r="345" spans="1:26" ht="13.5" customHeight="1">
      <c r="A345" s="32"/>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row>
    <row r="346" spans="1:26" ht="13.5" customHeight="1">
      <c r="A346" s="32"/>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row>
    <row r="347" spans="1:26" ht="13.5" customHeight="1">
      <c r="A347" s="32"/>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row>
    <row r="348" spans="1:26" ht="13.5" customHeight="1">
      <c r="A348" s="32"/>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row>
    <row r="349" spans="1:26" ht="13.5" customHeight="1">
      <c r="A349" s="32"/>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row>
    <row r="350" spans="1:26" ht="13.5" customHeight="1">
      <c r="A350" s="32"/>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row>
    <row r="351" spans="1:26" ht="13.5" customHeight="1">
      <c r="A351" s="32"/>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row>
    <row r="352" spans="1:26" ht="13.5" customHeight="1">
      <c r="A352" s="32"/>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row>
    <row r="353" spans="1:26" ht="13.5" customHeight="1">
      <c r="A353" s="32"/>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row>
    <row r="354" spans="1:26" ht="13.5" customHeight="1">
      <c r="A354" s="32"/>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row>
    <row r="355" spans="1:26" ht="13.5" customHeight="1">
      <c r="A355" s="32"/>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row>
    <row r="356" spans="1:26" ht="13.5" customHeight="1">
      <c r="A356" s="32"/>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row>
    <row r="357" spans="1:26" ht="13.5" customHeight="1">
      <c r="A357" s="32"/>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row>
    <row r="358" spans="1:26" ht="13.5" customHeight="1">
      <c r="A358" s="32"/>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row>
    <row r="359" spans="1:26" ht="13.5" customHeight="1">
      <c r="A359" s="32"/>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row>
    <row r="360" spans="1:26" ht="13.5" customHeight="1">
      <c r="A360" s="32"/>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row>
    <row r="361" spans="1:26" ht="13.5" customHeight="1">
      <c r="A361" s="32"/>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row>
    <row r="362" spans="1:26" ht="13.5" customHeight="1">
      <c r="A362" s="32"/>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row>
    <row r="363" spans="1:26" ht="13.5" customHeight="1">
      <c r="A363" s="32"/>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row>
    <row r="364" spans="1:26" ht="13.5" customHeight="1">
      <c r="A364" s="32"/>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row>
    <row r="365" spans="1:26" ht="13.5" customHeight="1">
      <c r="A365" s="32"/>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row>
    <row r="366" spans="1:26" ht="13.5" customHeight="1">
      <c r="A366" s="32"/>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row>
    <row r="367" spans="1:26" ht="13.5" customHeight="1">
      <c r="A367" s="32"/>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row>
    <row r="368" spans="1:26" ht="13.5" customHeight="1">
      <c r="A368" s="32"/>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row>
    <row r="369" spans="1:26" ht="13.5" customHeight="1">
      <c r="A369" s="32"/>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row>
    <row r="370" spans="1:26" ht="13.5" customHeight="1">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spans="1:26" ht="13.5" customHeight="1">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spans="1:26" ht="13.5" customHeight="1">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spans="1:26" ht="13.5" customHeight="1">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spans="1:26" ht="13.5" customHeight="1">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spans="1:26" ht="13.5" customHeight="1">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spans="1:26" ht="13.5" customHeight="1">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spans="1:26" ht="13.5" customHeight="1">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spans="1:26" ht="13.5" customHeight="1">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spans="1:26" ht="13.5" customHeight="1">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spans="1:26" ht="13.5" customHeight="1">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spans="1:26" ht="13.5" customHeight="1">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spans="1:26" ht="13.5" customHeight="1">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spans="1:26" ht="13.5" customHeight="1">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spans="1:26" ht="13.5" customHeight="1">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spans="1:26" ht="13.5" customHeight="1">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spans="1:26" ht="13.5" customHeight="1">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spans="1:26" ht="13.5" customHeight="1">
      <c r="A387" s="3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spans="1:26" ht="13.5" customHeight="1">
      <c r="A388" s="3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spans="1:26" ht="13.5" customHeight="1">
      <c r="A389" s="3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spans="1:26" ht="13.5" customHeight="1">
      <c r="A390" s="3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spans="1:26" ht="13.5" customHeight="1">
      <c r="A391" s="3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spans="1:26" ht="13.5" customHeight="1">
      <c r="A392" s="3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spans="1:26" ht="13.5" customHeight="1">
      <c r="A393" s="3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spans="1:26" ht="13.5" customHeight="1">
      <c r="A394" s="3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spans="1:26" ht="13.5" customHeight="1">
      <c r="A395" s="3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spans="1:26" ht="13.5" customHeight="1">
      <c r="A396" s="3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spans="1:26" ht="13.5" customHeight="1">
      <c r="A397" s="3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spans="1:26" ht="13.5" customHeight="1">
      <c r="A398" s="3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spans="1:26" ht="13.5" customHeight="1">
      <c r="A399" s="3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spans="1:26" ht="13.5" customHeight="1">
      <c r="A400" s="3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spans="1:26" ht="13.5" customHeight="1">
      <c r="A401" s="3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spans="1:26" ht="13.5" customHeight="1">
      <c r="A402" s="3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spans="1:26" ht="13.5" customHeight="1">
      <c r="A403" s="3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spans="1:26" ht="13.5" customHeight="1">
      <c r="A404" s="3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spans="1:26" ht="13.5" customHeight="1">
      <c r="A405" s="3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spans="1:26" ht="13.5" customHeight="1">
      <c r="A406" s="3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spans="1:26" ht="13.5" customHeight="1">
      <c r="A407" s="3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spans="1:26" ht="13.5" customHeight="1">
      <c r="A408" s="3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spans="1:26" ht="13.5" customHeight="1">
      <c r="A409" s="3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spans="1:26" ht="13.5" customHeight="1">
      <c r="A410" s="3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spans="1:26" ht="13.5" customHeight="1">
      <c r="A411" s="3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spans="1:26" ht="13.5" customHeight="1">
      <c r="A412" s="3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spans="1:26" ht="13.5" customHeight="1">
      <c r="A413" s="3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spans="1:26" ht="13.5" customHeight="1">
      <c r="A414" s="3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spans="1:26" ht="13.5" customHeight="1">
      <c r="A415" s="3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spans="1:26" ht="13.5" customHeight="1">
      <c r="A416" s="3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spans="1:26" ht="13.5" customHeight="1">
      <c r="A417" s="3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spans="1:26" ht="13.5" customHeight="1">
      <c r="A418" s="3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spans="1:26" ht="13.5" customHeight="1">
      <c r="A419" s="3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spans="1:26" ht="13.5" customHeight="1">
      <c r="A420" s="3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spans="1:26" ht="13.5" customHeight="1">
      <c r="A421" s="3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spans="1:26" ht="13.5" customHeight="1">
      <c r="A422" s="3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spans="1:26" ht="13.5" customHeight="1">
      <c r="A423" s="3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spans="1:26" ht="13.5" customHeight="1">
      <c r="A424" s="3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spans="1:26" ht="13.5" customHeight="1">
      <c r="A425" s="3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spans="1:26" ht="13.5" customHeight="1">
      <c r="A426" s="3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spans="1:26" ht="13.5" customHeight="1">
      <c r="A427" s="3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spans="1:26" ht="13.5" customHeight="1">
      <c r="A428" s="3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spans="1:26" ht="13.5" customHeight="1">
      <c r="A429" s="3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spans="1:26" ht="13.5" customHeight="1">
      <c r="A430" s="3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spans="1:26" ht="13.5" customHeight="1">
      <c r="A431" s="3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spans="1:26" ht="13.5" customHeight="1">
      <c r="A432" s="3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spans="1:26" ht="13.5" customHeight="1">
      <c r="A433" s="3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spans="1:26" ht="13.5" customHeight="1">
      <c r="A434" s="3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spans="1:26" ht="13.5" customHeight="1">
      <c r="A435" s="3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spans="1:26" ht="13.5" customHeight="1">
      <c r="A436" s="3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spans="1:26" ht="13.5" customHeight="1">
      <c r="A437" s="3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spans="1:26" ht="13.5" customHeight="1">
      <c r="A438" s="3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spans="1:26" ht="13.5" customHeight="1">
      <c r="A439" s="3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spans="1:26" ht="13.5" customHeight="1">
      <c r="A440" s="3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spans="1:26" ht="13.5" customHeight="1">
      <c r="A441" s="3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spans="1:26" ht="13.5" customHeight="1">
      <c r="A442" s="3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spans="1:26" ht="13.5" customHeight="1">
      <c r="A443" s="3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spans="1:26" ht="13.5" customHeight="1">
      <c r="A444" s="3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spans="1:26" ht="13.5" customHeight="1">
      <c r="A445" s="3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spans="1:26" ht="13.5" customHeight="1">
      <c r="A446" s="3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spans="1:26" ht="13.5" customHeight="1">
      <c r="A447" s="3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spans="1:26" ht="13.5" customHeight="1">
      <c r="A448" s="3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spans="1:26" ht="13.5" customHeight="1">
      <c r="A449" s="3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spans="1:26" ht="13.5" customHeight="1">
      <c r="A450" s="3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spans="1:26" ht="13.5" customHeight="1">
      <c r="A451" s="3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spans="1:26" ht="13.5" customHeight="1">
      <c r="A452" s="3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spans="1:26" ht="13.5" customHeight="1">
      <c r="A453" s="3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spans="1:26" ht="13.5" customHeight="1">
      <c r="A454" s="3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spans="1:26" ht="13.5" customHeight="1">
      <c r="A455" s="3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spans="1:26" ht="13.5" customHeight="1">
      <c r="A456" s="3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spans="1:26" ht="13.5" customHeight="1">
      <c r="A457" s="3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spans="1:26" ht="13.5" customHeight="1">
      <c r="A458" s="3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spans="1:26" ht="13.5" customHeight="1">
      <c r="A459" s="3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spans="1:26" ht="13.5" customHeight="1">
      <c r="A460" s="3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spans="1:26" ht="13.5" customHeight="1">
      <c r="A461" s="3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spans="1:26" ht="13.5" customHeight="1">
      <c r="A462" s="3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spans="1:26" ht="13.5" customHeight="1">
      <c r="A463" s="3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spans="1:26" ht="13.5" customHeight="1">
      <c r="A464" s="3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spans="1:26" ht="13.5" customHeight="1">
      <c r="A465" s="3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spans="1:26" ht="13.5" customHeight="1">
      <c r="A466" s="3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spans="1:26" ht="13.5" customHeight="1">
      <c r="A467" s="3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spans="1:26" ht="13.5" customHeight="1">
      <c r="A468" s="3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spans="1:26" ht="13.5" customHeight="1">
      <c r="A469" s="3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spans="1:26" ht="13.5" customHeight="1">
      <c r="A470" s="3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spans="1:26" ht="13.5" customHeight="1">
      <c r="A471" s="3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spans="1:26" ht="13.5" customHeight="1">
      <c r="A472" s="3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spans="1:26" ht="13.5" customHeight="1">
      <c r="A473" s="3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spans="1:26" ht="13.5" customHeight="1">
      <c r="A474" s="3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spans="1:26" ht="13.5" customHeight="1">
      <c r="A475" s="3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spans="1:26" ht="13.5" customHeight="1">
      <c r="A476" s="3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spans="1:26" ht="13.5" customHeight="1">
      <c r="A477" s="3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spans="1:26" ht="13.5" customHeight="1">
      <c r="A478" s="3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spans="1:26" ht="13.5" customHeight="1">
      <c r="A479" s="3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spans="1:26" ht="13.5" customHeight="1">
      <c r="A480" s="3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spans="1:26" ht="13.5" customHeight="1">
      <c r="A481" s="3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spans="1:26" ht="13.5" customHeight="1">
      <c r="A482" s="3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spans="1:26" ht="13.5" customHeight="1">
      <c r="A483" s="3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spans="1:26" ht="13.5" customHeight="1">
      <c r="A484" s="3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spans="1:26" ht="13.5" customHeight="1">
      <c r="A485" s="3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spans="1:26" ht="13.5" customHeight="1">
      <c r="A486" s="3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spans="1:26" ht="13.5" customHeight="1">
      <c r="A487" s="3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spans="1:26" ht="13.5" customHeight="1">
      <c r="A488" s="3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spans="1:26" ht="13.5" customHeight="1">
      <c r="A489" s="3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spans="1:26" ht="13.5" customHeight="1">
      <c r="A490" s="3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spans="1:26" ht="13.5" customHeight="1">
      <c r="A491" s="3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spans="1:26" ht="13.5" customHeight="1">
      <c r="A492" s="3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spans="1:26" ht="13.5" customHeight="1">
      <c r="A493" s="3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spans="1:26" ht="13.5" customHeight="1">
      <c r="A494" s="3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spans="1:26" ht="13.5" customHeight="1">
      <c r="A495" s="3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spans="1:26" ht="13.5" customHeight="1">
      <c r="A496" s="3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spans="1:26" ht="13.5" customHeight="1">
      <c r="A497" s="3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spans="1:26" ht="13.5" customHeight="1">
      <c r="A498" s="3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spans="1:26" ht="13.5" customHeight="1">
      <c r="A499" s="3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spans="1:26" ht="13.5" customHeight="1">
      <c r="A500" s="3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spans="1:26" ht="13.5" customHeight="1">
      <c r="A501" s="3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spans="1:26" ht="13.5" customHeight="1">
      <c r="A502" s="3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spans="1:26" ht="13.5" customHeight="1">
      <c r="A503" s="3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spans="1:26" ht="13.5" customHeight="1">
      <c r="A504" s="3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spans="1:26" ht="13.5" customHeight="1">
      <c r="A505" s="3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spans="1:26" ht="13.5" customHeight="1">
      <c r="A506" s="3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spans="1:26" ht="13.5" customHeight="1">
      <c r="A507" s="3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spans="1:26" ht="13.5" customHeight="1">
      <c r="A508" s="3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spans="1:26" ht="13.5" customHeight="1">
      <c r="A509" s="3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spans="1:26" ht="13.5" customHeight="1">
      <c r="A510" s="3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spans="1:26" ht="13.5" customHeight="1">
      <c r="A511" s="3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spans="1:26" ht="13.5" customHeight="1">
      <c r="A512" s="3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spans="1:26" ht="13.5" customHeight="1">
      <c r="A513" s="3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spans="1:26" ht="13.5" customHeight="1">
      <c r="A514" s="3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spans="1:26" ht="13.5" customHeight="1">
      <c r="A515" s="3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spans="1:26" ht="13.5" customHeight="1">
      <c r="A516" s="3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spans="1:26" ht="13.5" customHeight="1">
      <c r="A517" s="3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spans="1:26" ht="13.5" customHeight="1">
      <c r="A518" s="3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spans="1:26" ht="13.5" customHeight="1">
      <c r="A519" s="3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spans="1:26" ht="13.5" customHeight="1">
      <c r="A520" s="3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spans="1:26" ht="13.5" customHeight="1">
      <c r="A521" s="3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spans="1:26" ht="13.5" customHeight="1">
      <c r="A522" s="3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spans="1:26" ht="13.5" customHeight="1">
      <c r="A523" s="3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spans="1:26" ht="13.5" customHeight="1">
      <c r="A524" s="3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spans="1:26" ht="13.5" customHeight="1">
      <c r="A525" s="3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spans="1:26" ht="13.5" customHeight="1">
      <c r="A526" s="3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spans="1:26" ht="13.5" customHeight="1">
      <c r="A527" s="3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spans="1:26" ht="13.5" customHeight="1">
      <c r="A528" s="3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spans="1:26" ht="13.5" customHeight="1">
      <c r="A529" s="3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spans="1:26" ht="13.5" customHeight="1">
      <c r="A530" s="3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spans="1:26" ht="13.5" customHeight="1">
      <c r="A531" s="3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spans="1:26" ht="13.5" customHeight="1">
      <c r="A532" s="3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spans="1:26" ht="13.5" customHeight="1">
      <c r="A533" s="3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spans="1:26" ht="13.5" customHeight="1">
      <c r="A534" s="3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spans="1:26" ht="13.5" customHeight="1">
      <c r="A535" s="3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spans="1:26" ht="13.5" customHeight="1">
      <c r="A536" s="3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spans="1:26" ht="13.5" customHeight="1">
      <c r="A537" s="3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spans="1:26" ht="13.5" customHeight="1">
      <c r="A538" s="3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spans="1:26" ht="13.5" customHeight="1">
      <c r="A539" s="3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spans="1:26" ht="13.5" customHeight="1">
      <c r="A540" s="3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spans="1:26" ht="13.5" customHeight="1">
      <c r="A541" s="3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spans="1:26" ht="13.5" customHeight="1">
      <c r="A542" s="3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spans="1:26" ht="13.5" customHeight="1">
      <c r="A543" s="3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spans="1:26" ht="13.5" customHeight="1">
      <c r="A544" s="3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spans="1:26" ht="13.5" customHeight="1">
      <c r="A545" s="3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spans="1:26" ht="13.5" customHeight="1">
      <c r="A546" s="3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spans="1:26" ht="13.5" customHeight="1">
      <c r="A547" s="3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spans="1:26" ht="13.5" customHeight="1">
      <c r="A548" s="3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spans="1:26" ht="13.5" customHeight="1">
      <c r="A549" s="3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spans="1:26" ht="13.5" customHeight="1">
      <c r="A550" s="3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spans="1:26" ht="13.5" customHeight="1">
      <c r="A551" s="3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spans="1:26" ht="13.5" customHeight="1">
      <c r="A552" s="3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spans="1:26" ht="13.5" customHeight="1">
      <c r="A553" s="3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spans="1:26" ht="13.5" customHeight="1">
      <c r="A554" s="3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spans="1:26" ht="13.5" customHeight="1">
      <c r="A555" s="3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spans="1:26" ht="13.5" customHeight="1">
      <c r="A556" s="3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spans="1:26" ht="13.5" customHeight="1">
      <c r="A557" s="3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spans="1:26" ht="13.5" customHeight="1">
      <c r="A558" s="3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spans="1:26" ht="13.5" customHeight="1">
      <c r="A559" s="3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spans="1:26" ht="13.5" customHeight="1">
      <c r="A560" s="3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spans="1:26" ht="13.5" customHeight="1">
      <c r="A561" s="3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spans="1:26" ht="13.5" customHeight="1">
      <c r="A562" s="3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spans="1:26" ht="13.5" customHeight="1">
      <c r="A563" s="3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spans="1:26" ht="13.5" customHeight="1">
      <c r="A564" s="3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spans="1:26" ht="13.5" customHeight="1">
      <c r="A565" s="3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spans="1:26" ht="13.5" customHeight="1">
      <c r="A566" s="3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spans="1:26" ht="13.5" customHeight="1">
      <c r="A567" s="3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spans="1:26" ht="13.5" customHeight="1">
      <c r="A568" s="3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spans="1:26" ht="13.5" customHeight="1">
      <c r="A569" s="3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row r="570" spans="1:26" ht="13.5" customHeight="1">
      <c r="A570" s="32"/>
      <c r="B570" s="32"/>
      <c r="C570" s="32"/>
      <c r="D570" s="32"/>
      <c r="E570" s="32"/>
      <c r="F570" s="32"/>
      <c r="G570" s="32"/>
      <c r="H570" s="32"/>
      <c r="I570" s="32"/>
      <c r="J570" s="32"/>
      <c r="K570" s="32"/>
      <c r="L570" s="32"/>
      <c r="M570" s="32"/>
      <c r="N570" s="32"/>
      <c r="O570" s="32"/>
      <c r="P570" s="32"/>
      <c r="Q570" s="32"/>
      <c r="R570" s="32"/>
      <c r="S570" s="32"/>
      <c r="T570" s="32"/>
      <c r="U570" s="32"/>
      <c r="V570" s="32"/>
      <c r="W570" s="32"/>
      <c r="X570" s="32"/>
      <c r="Y570" s="32"/>
      <c r="Z570" s="32"/>
    </row>
    <row r="571" spans="1:26" ht="13.5" customHeight="1">
      <c r="A571" s="32"/>
      <c r="B571" s="32"/>
      <c r="C571" s="32"/>
      <c r="D571" s="32"/>
      <c r="E571" s="32"/>
      <c r="F571" s="32"/>
      <c r="G571" s="32"/>
      <c r="H571" s="32"/>
      <c r="I571" s="32"/>
      <c r="J571" s="32"/>
      <c r="K571" s="32"/>
      <c r="L571" s="32"/>
      <c r="M571" s="32"/>
      <c r="N571" s="32"/>
      <c r="O571" s="32"/>
      <c r="P571" s="32"/>
      <c r="Q571" s="32"/>
      <c r="R571" s="32"/>
      <c r="S571" s="32"/>
      <c r="T571" s="32"/>
      <c r="U571" s="32"/>
      <c r="V571" s="32"/>
      <c r="W571" s="32"/>
      <c r="X571" s="32"/>
      <c r="Y571" s="32"/>
      <c r="Z571" s="32"/>
    </row>
    <row r="572" spans="1:26" ht="13.5" customHeight="1">
      <c r="A572" s="32"/>
      <c r="B572" s="32"/>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32"/>
    </row>
    <row r="573" spans="1:26" ht="13.5" customHeight="1">
      <c r="A573" s="32"/>
      <c r="B573" s="32"/>
      <c r="C573" s="32"/>
      <c r="D573" s="32"/>
      <c r="E573" s="32"/>
      <c r="F573" s="32"/>
      <c r="G573" s="32"/>
      <c r="H573" s="32"/>
      <c r="I573" s="32"/>
      <c r="J573" s="32"/>
      <c r="K573" s="32"/>
      <c r="L573" s="32"/>
      <c r="M573" s="32"/>
      <c r="N573" s="32"/>
      <c r="O573" s="32"/>
      <c r="P573" s="32"/>
      <c r="Q573" s="32"/>
      <c r="R573" s="32"/>
      <c r="S573" s="32"/>
      <c r="T573" s="32"/>
      <c r="U573" s="32"/>
      <c r="V573" s="32"/>
      <c r="W573" s="32"/>
      <c r="X573" s="32"/>
      <c r="Y573" s="32"/>
      <c r="Z573" s="32"/>
    </row>
    <row r="574" spans="1:26" ht="13.5" customHeight="1">
      <c r="A574" s="32"/>
      <c r="B574" s="32"/>
      <c r="C574" s="32"/>
      <c r="D574" s="32"/>
      <c r="E574" s="32"/>
      <c r="F574" s="32"/>
      <c r="G574" s="32"/>
      <c r="H574" s="32"/>
      <c r="I574" s="32"/>
      <c r="J574" s="32"/>
      <c r="K574" s="32"/>
      <c r="L574" s="32"/>
      <c r="M574" s="32"/>
      <c r="N574" s="32"/>
      <c r="O574" s="32"/>
      <c r="P574" s="32"/>
      <c r="Q574" s="32"/>
      <c r="R574" s="32"/>
      <c r="S574" s="32"/>
      <c r="T574" s="32"/>
      <c r="U574" s="32"/>
      <c r="V574" s="32"/>
      <c r="W574" s="32"/>
      <c r="X574" s="32"/>
      <c r="Y574" s="32"/>
      <c r="Z574" s="32"/>
    </row>
    <row r="575" spans="1:26" ht="13.5" customHeight="1">
      <c r="A575" s="32"/>
      <c r="B575" s="32"/>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32"/>
    </row>
    <row r="576" spans="1:26" ht="13.5" customHeight="1">
      <c r="A576" s="32"/>
      <c r="B576" s="32"/>
      <c r="C576" s="32"/>
      <c r="D576" s="32"/>
      <c r="E576" s="32"/>
      <c r="F576" s="32"/>
      <c r="G576" s="32"/>
      <c r="H576" s="32"/>
      <c r="I576" s="32"/>
      <c r="J576" s="32"/>
      <c r="K576" s="32"/>
      <c r="L576" s="32"/>
      <c r="M576" s="32"/>
      <c r="N576" s="32"/>
      <c r="O576" s="32"/>
      <c r="P576" s="32"/>
      <c r="Q576" s="32"/>
      <c r="R576" s="32"/>
      <c r="S576" s="32"/>
      <c r="T576" s="32"/>
      <c r="U576" s="32"/>
      <c r="V576" s="32"/>
      <c r="W576" s="32"/>
      <c r="X576" s="32"/>
      <c r="Y576" s="32"/>
      <c r="Z576" s="32"/>
    </row>
    <row r="577" spans="1:26" ht="13.5" customHeight="1">
      <c r="A577" s="32"/>
      <c r="B577" s="32"/>
      <c r="C577" s="32"/>
      <c r="D577" s="32"/>
      <c r="E577" s="32"/>
      <c r="F577" s="32"/>
      <c r="G577" s="32"/>
      <c r="H577" s="32"/>
      <c r="I577" s="32"/>
      <c r="J577" s="32"/>
      <c r="K577" s="32"/>
      <c r="L577" s="32"/>
      <c r="M577" s="32"/>
      <c r="N577" s="32"/>
      <c r="O577" s="32"/>
      <c r="P577" s="32"/>
      <c r="Q577" s="32"/>
      <c r="R577" s="32"/>
      <c r="S577" s="32"/>
      <c r="T577" s="32"/>
      <c r="U577" s="32"/>
      <c r="V577" s="32"/>
      <c r="W577" s="32"/>
      <c r="X577" s="32"/>
      <c r="Y577" s="32"/>
      <c r="Z577" s="32"/>
    </row>
    <row r="578" spans="1:26" ht="13.5" customHeight="1">
      <c r="A578" s="32"/>
      <c r="B578" s="32"/>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32"/>
    </row>
    <row r="579" spans="1:26" ht="13.5" customHeight="1">
      <c r="A579" s="32"/>
      <c r="B579" s="32"/>
      <c r="C579" s="32"/>
      <c r="D579" s="32"/>
      <c r="E579" s="32"/>
      <c r="F579" s="32"/>
      <c r="G579" s="32"/>
      <c r="H579" s="32"/>
      <c r="I579" s="32"/>
      <c r="J579" s="32"/>
      <c r="K579" s="32"/>
      <c r="L579" s="32"/>
      <c r="M579" s="32"/>
      <c r="N579" s="32"/>
      <c r="O579" s="32"/>
      <c r="P579" s="32"/>
      <c r="Q579" s="32"/>
      <c r="R579" s="32"/>
      <c r="S579" s="32"/>
      <c r="T579" s="32"/>
      <c r="U579" s="32"/>
      <c r="V579" s="32"/>
      <c r="W579" s="32"/>
      <c r="X579" s="32"/>
      <c r="Y579" s="32"/>
      <c r="Z579" s="32"/>
    </row>
    <row r="580" spans="1:26" ht="13.5" customHeight="1">
      <c r="A580" s="32"/>
      <c r="B580" s="32"/>
      <c r="C580" s="32"/>
      <c r="D580" s="32"/>
      <c r="E580" s="32"/>
      <c r="F580" s="32"/>
      <c r="G580" s="32"/>
      <c r="H580" s="32"/>
      <c r="I580" s="32"/>
      <c r="J580" s="32"/>
      <c r="K580" s="32"/>
      <c r="L580" s="32"/>
      <c r="M580" s="32"/>
      <c r="N580" s="32"/>
      <c r="O580" s="32"/>
      <c r="P580" s="32"/>
      <c r="Q580" s="32"/>
      <c r="R580" s="32"/>
      <c r="S580" s="32"/>
      <c r="T580" s="32"/>
      <c r="U580" s="32"/>
      <c r="V580" s="32"/>
      <c r="W580" s="32"/>
      <c r="X580" s="32"/>
      <c r="Y580" s="32"/>
      <c r="Z580" s="32"/>
    </row>
    <row r="581" spans="1:26" ht="13.5" customHeight="1">
      <c r="A581" s="32"/>
      <c r="B581" s="32"/>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32"/>
    </row>
    <row r="582" spans="1:26" ht="13.5" customHeight="1">
      <c r="A582" s="32"/>
      <c r="B582" s="32"/>
      <c r="C582" s="32"/>
      <c r="D582" s="32"/>
      <c r="E582" s="32"/>
      <c r="F582" s="32"/>
      <c r="G582" s="32"/>
      <c r="H582" s="32"/>
      <c r="I582" s="32"/>
      <c r="J582" s="32"/>
      <c r="K582" s="32"/>
      <c r="L582" s="32"/>
      <c r="M582" s="32"/>
      <c r="N582" s="32"/>
      <c r="O582" s="32"/>
      <c r="P582" s="32"/>
      <c r="Q582" s="32"/>
      <c r="R582" s="32"/>
      <c r="S582" s="32"/>
      <c r="T582" s="32"/>
      <c r="U582" s="32"/>
      <c r="V582" s="32"/>
      <c r="W582" s="32"/>
      <c r="X582" s="32"/>
      <c r="Y582" s="32"/>
      <c r="Z582" s="32"/>
    </row>
    <row r="583" spans="1:26" ht="13.5" customHeight="1">
      <c r="A583" s="32"/>
      <c r="B583" s="32"/>
      <c r="C583" s="32"/>
      <c r="D583" s="32"/>
      <c r="E583" s="32"/>
      <c r="F583" s="32"/>
      <c r="G583" s="32"/>
      <c r="H583" s="32"/>
      <c r="I583" s="32"/>
      <c r="J583" s="32"/>
      <c r="K583" s="32"/>
      <c r="L583" s="32"/>
      <c r="M583" s="32"/>
      <c r="N583" s="32"/>
      <c r="O583" s="32"/>
      <c r="P583" s="32"/>
      <c r="Q583" s="32"/>
      <c r="R583" s="32"/>
      <c r="S583" s="32"/>
      <c r="T583" s="32"/>
      <c r="U583" s="32"/>
      <c r="V583" s="32"/>
      <c r="W583" s="32"/>
      <c r="X583" s="32"/>
      <c r="Y583" s="32"/>
      <c r="Z583" s="32"/>
    </row>
    <row r="584" spans="1:26" ht="13.5" customHeight="1">
      <c r="A584" s="32"/>
      <c r="B584" s="32"/>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32"/>
    </row>
    <row r="585" spans="1:26" ht="13.5" customHeight="1">
      <c r="A585" s="32"/>
      <c r="B585" s="32"/>
      <c r="C585" s="32"/>
      <c r="D585" s="32"/>
      <c r="E585" s="32"/>
      <c r="F585" s="32"/>
      <c r="G585" s="32"/>
      <c r="H585" s="32"/>
      <c r="I585" s="32"/>
      <c r="J585" s="32"/>
      <c r="K585" s="32"/>
      <c r="L585" s="32"/>
      <c r="M585" s="32"/>
      <c r="N585" s="32"/>
      <c r="O585" s="32"/>
      <c r="P585" s="32"/>
      <c r="Q585" s="32"/>
      <c r="R585" s="32"/>
      <c r="S585" s="32"/>
      <c r="T585" s="32"/>
      <c r="U585" s="32"/>
      <c r="V585" s="32"/>
      <c r="W585" s="32"/>
      <c r="X585" s="32"/>
      <c r="Y585" s="32"/>
      <c r="Z585" s="32"/>
    </row>
    <row r="586" spans="1:26" ht="13.5" customHeight="1">
      <c r="A586" s="32"/>
      <c r="B586" s="32"/>
      <c r="C586" s="32"/>
      <c r="D586" s="32"/>
      <c r="E586" s="32"/>
      <c r="F586" s="32"/>
      <c r="G586" s="32"/>
      <c r="H586" s="32"/>
      <c r="I586" s="32"/>
      <c r="J586" s="32"/>
      <c r="K586" s="32"/>
      <c r="L586" s="32"/>
      <c r="M586" s="32"/>
      <c r="N586" s="32"/>
      <c r="O586" s="32"/>
      <c r="P586" s="32"/>
      <c r="Q586" s="32"/>
      <c r="R586" s="32"/>
      <c r="S586" s="32"/>
      <c r="T586" s="32"/>
      <c r="U586" s="32"/>
      <c r="V586" s="32"/>
      <c r="W586" s="32"/>
      <c r="X586" s="32"/>
      <c r="Y586" s="32"/>
      <c r="Z586" s="32"/>
    </row>
    <row r="587" spans="1:26" ht="13.5" customHeight="1">
      <c r="A587" s="32"/>
      <c r="B587" s="32"/>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32"/>
    </row>
    <row r="588" spans="1:26" ht="13.5" customHeight="1">
      <c r="A588" s="32"/>
      <c r="B588" s="32"/>
      <c r="C588" s="32"/>
      <c r="D588" s="32"/>
      <c r="E588" s="32"/>
      <c r="F588" s="32"/>
      <c r="G588" s="32"/>
      <c r="H588" s="32"/>
      <c r="I588" s="32"/>
      <c r="J588" s="32"/>
      <c r="K588" s="32"/>
      <c r="L588" s="32"/>
      <c r="M588" s="32"/>
      <c r="N588" s="32"/>
      <c r="O588" s="32"/>
      <c r="P588" s="32"/>
      <c r="Q588" s="32"/>
      <c r="R588" s="32"/>
      <c r="S588" s="32"/>
      <c r="T588" s="32"/>
      <c r="U588" s="32"/>
      <c r="V588" s="32"/>
      <c r="W588" s="32"/>
      <c r="X588" s="32"/>
      <c r="Y588" s="32"/>
      <c r="Z588" s="32"/>
    </row>
    <row r="589" spans="1:26" ht="13.5" customHeight="1">
      <c r="A589" s="32"/>
      <c r="B589" s="32"/>
      <c r="C589" s="32"/>
      <c r="D589" s="32"/>
      <c r="E589" s="32"/>
      <c r="F589" s="32"/>
      <c r="G589" s="32"/>
      <c r="H589" s="32"/>
      <c r="I589" s="32"/>
      <c r="J589" s="32"/>
      <c r="K589" s="32"/>
      <c r="L589" s="32"/>
      <c r="M589" s="32"/>
      <c r="N589" s="32"/>
      <c r="O589" s="32"/>
      <c r="P589" s="32"/>
      <c r="Q589" s="32"/>
      <c r="R589" s="32"/>
      <c r="S589" s="32"/>
      <c r="T589" s="32"/>
      <c r="U589" s="32"/>
      <c r="V589" s="32"/>
      <c r="W589" s="32"/>
      <c r="X589" s="32"/>
      <c r="Y589" s="32"/>
      <c r="Z589" s="32"/>
    </row>
    <row r="590" spans="1:26" ht="13.5" customHeight="1">
      <c r="A590" s="32"/>
      <c r="B590" s="32"/>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32"/>
    </row>
    <row r="591" spans="1:26" ht="13.5" customHeight="1">
      <c r="A591" s="32"/>
      <c r="B591" s="32"/>
      <c r="C591" s="32"/>
      <c r="D591" s="32"/>
      <c r="E591" s="32"/>
      <c r="F591" s="32"/>
      <c r="G591" s="32"/>
      <c r="H591" s="32"/>
      <c r="I591" s="32"/>
      <c r="J591" s="32"/>
      <c r="K591" s="32"/>
      <c r="L591" s="32"/>
      <c r="M591" s="32"/>
      <c r="N591" s="32"/>
      <c r="O591" s="32"/>
      <c r="P591" s="32"/>
      <c r="Q591" s="32"/>
      <c r="R591" s="32"/>
      <c r="S591" s="32"/>
      <c r="T591" s="32"/>
      <c r="U591" s="32"/>
      <c r="V591" s="32"/>
      <c r="W591" s="32"/>
      <c r="X591" s="32"/>
      <c r="Y591" s="32"/>
      <c r="Z591" s="32"/>
    </row>
    <row r="592" spans="1:26" ht="13.5" customHeight="1">
      <c r="A592" s="32"/>
      <c r="B592" s="32"/>
      <c r="C592" s="32"/>
      <c r="D592" s="32"/>
      <c r="E592" s="32"/>
      <c r="F592" s="32"/>
      <c r="G592" s="32"/>
      <c r="H592" s="32"/>
      <c r="I592" s="32"/>
      <c r="J592" s="32"/>
      <c r="K592" s="32"/>
      <c r="L592" s="32"/>
      <c r="M592" s="32"/>
      <c r="N592" s="32"/>
      <c r="O592" s="32"/>
      <c r="P592" s="32"/>
      <c r="Q592" s="32"/>
      <c r="R592" s="32"/>
      <c r="S592" s="32"/>
      <c r="T592" s="32"/>
      <c r="U592" s="32"/>
      <c r="V592" s="32"/>
      <c r="W592" s="32"/>
      <c r="X592" s="32"/>
      <c r="Y592" s="32"/>
      <c r="Z592" s="32"/>
    </row>
    <row r="593" spans="1:26" ht="13.5" customHeight="1">
      <c r="A593" s="32"/>
      <c r="B593" s="32"/>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32"/>
    </row>
    <row r="594" spans="1:26" ht="13.5" customHeight="1">
      <c r="A594" s="32"/>
      <c r="B594" s="32"/>
      <c r="C594" s="32"/>
      <c r="D594" s="32"/>
      <c r="E594" s="32"/>
      <c r="F594" s="32"/>
      <c r="G594" s="32"/>
      <c r="H594" s="32"/>
      <c r="I594" s="32"/>
      <c r="J594" s="32"/>
      <c r="K594" s="32"/>
      <c r="L594" s="32"/>
      <c r="M594" s="32"/>
      <c r="N594" s="32"/>
      <c r="O594" s="32"/>
      <c r="P594" s="32"/>
      <c r="Q594" s="32"/>
      <c r="R594" s="32"/>
      <c r="S594" s="32"/>
      <c r="T594" s="32"/>
      <c r="U594" s="32"/>
      <c r="V594" s="32"/>
      <c r="W594" s="32"/>
      <c r="X594" s="32"/>
      <c r="Y594" s="32"/>
      <c r="Z594" s="32"/>
    </row>
    <row r="595" spans="1:26" ht="13.5" customHeight="1">
      <c r="A595" s="32"/>
      <c r="B595" s="32"/>
      <c r="C595" s="32"/>
      <c r="D595" s="32"/>
      <c r="E595" s="32"/>
      <c r="F595" s="32"/>
      <c r="G595" s="32"/>
      <c r="H595" s="32"/>
      <c r="I595" s="32"/>
      <c r="J595" s="32"/>
      <c r="K595" s="32"/>
      <c r="L595" s="32"/>
      <c r="M595" s="32"/>
      <c r="N595" s="32"/>
      <c r="O595" s="32"/>
      <c r="P595" s="32"/>
      <c r="Q595" s="32"/>
      <c r="R595" s="32"/>
      <c r="S595" s="32"/>
      <c r="T595" s="32"/>
      <c r="U595" s="32"/>
      <c r="V595" s="32"/>
      <c r="W595" s="32"/>
      <c r="X595" s="32"/>
      <c r="Y595" s="32"/>
      <c r="Z595" s="32"/>
    </row>
    <row r="596" spans="1:26" ht="13.5" customHeight="1">
      <c r="A596" s="32"/>
      <c r="B596" s="32"/>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32"/>
    </row>
    <row r="597" spans="1:26" ht="13.5" customHeight="1">
      <c r="A597" s="32"/>
      <c r="B597" s="32"/>
      <c r="C597" s="32"/>
      <c r="D597" s="32"/>
      <c r="E597" s="32"/>
      <c r="F597" s="32"/>
      <c r="G597" s="32"/>
      <c r="H597" s="32"/>
      <c r="I597" s="32"/>
      <c r="J597" s="32"/>
      <c r="K597" s="32"/>
      <c r="L597" s="32"/>
      <c r="M597" s="32"/>
      <c r="N597" s="32"/>
      <c r="O597" s="32"/>
      <c r="P597" s="32"/>
      <c r="Q597" s="32"/>
      <c r="R597" s="32"/>
      <c r="S597" s="32"/>
      <c r="T597" s="32"/>
      <c r="U597" s="32"/>
      <c r="V597" s="32"/>
      <c r="W597" s="32"/>
      <c r="X597" s="32"/>
      <c r="Y597" s="32"/>
      <c r="Z597" s="32"/>
    </row>
    <row r="598" spans="1:26" ht="13.5" customHeight="1">
      <c r="A598" s="32"/>
      <c r="B598" s="32"/>
      <c r="C598" s="32"/>
      <c r="D598" s="32"/>
      <c r="E598" s="32"/>
      <c r="F598" s="32"/>
      <c r="G598" s="32"/>
      <c r="H598" s="32"/>
      <c r="I598" s="32"/>
      <c r="J598" s="32"/>
      <c r="K598" s="32"/>
      <c r="L598" s="32"/>
      <c r="M598" s="32"/>
      <c r="N598" s="32"/>
      <c r="O598" s="32"/>
      <c r="P598" s="32"/>
      <c r="Q598" s="32"/>
      <c r="R598" s="32"/>
      <c r="S598" s="32"/>
      <c r="T598" s="32"/>
      <c r="U598" s="32"/>
      <c r="V598" s="32"/>
      <c r="W598" s="32"/>
      <c r="X598" s="32"/>
      <c r="Y598" s="32"/>
      <c r="Z598" s="32"/>
    </row>
    <row r="599" spans="1:26" ht="13.5" customHeight="1">
      <c r="A599" s="32"/>
      <c r="B599" s="32"/>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32"/>
    </row>
    <row r="600" spans="1:26" ht="13.5" customHeight="1">
      <c r="A600" s="32"/>
      <c r="B600" s="32"/>
      <c r="C600" s="32"/>
      <c r="D600" s="32"/>
      <c r="E600" s="32"/>
      <c r="F600" s="32"/>
      <c r="G600" s="32"/>
      <c r="H600" s="32"/>
      <c r="I600" s="32"/>
      <c r="J600" s="32"/>
      <c r="K600" s="32"/>
      <c r="L600" s="32"/>
      <c r="M600" s="32"/>
      <c r="N600" s="32"/>
      <c r="O600" s="32"/>
      <c r="P600" s="32"/>
      <c r="Q600" s="32"/>
      <c r="R600" s="32"/>
      <c r="S600" s="32"/>
      <c r="T600" s="32"/>
      <c r="U600" s="32"/>
      <c r="V600" s="32"/>
      <c r="W600" s="32"/>
      <c r="X600" s="32"/>
      <c r="Y600" s="32"/>
      <c r="Z600" s="32"/>
    </row>
    <row r="601" spans="1:26" ht="13.5" customHeight="1">
      <c r="A601" s="32"/>
      <c r="B601" s="32"/>
      <c r="C601" s="32"/>
      <c r="D601" s="32"/>
      <c r="E601" s="32"/>
      <c r="F601" s="32"/>
      <c r="G601" s="32"/>
      <c r="H601" s="32"/>
      <c r="I601" s="32"/>
      <c r="J601" s="32"/>
      <c r="K601" s="32"/>
      <c r="L601" s="32"/>
      <c r="M601" s="32"/>
      <c r="N601" s="32"/>
      <c r="O601" s="32"/>
      <c r="P601" s="32"/>
      <c r="Q601" s="32"/>
      <c r="R601" s="32"/>
      <c r="S601" s="32"/>
      <c r="T601" s="32"/>
      <c r="U601" s="32"/>
      <c r="V601" s="32"/>
      <c r="W601" s="32"/>
      <c r="X601" s="32"/>
      <c r="Y601" s="32"/>
      <c r="Z601" s="32"/>
    </row>
    <row r="602" spans="1:26" ht="13.5" customHeight="1">
      <c r="A602" s="32"/>
      <c r="B602" s="32"/>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32"/>
    </row>
    <row r="603" spans="1:26" ht="13.5" customHeight="1">
      <c r="A603" s="32"/>
      <c r="B603" s="32"/>
      <c r="C603" s="32"/>
      <c r="D603" s="32"/>
      <c r="E603" s="32"/>
      <c r="F603" s="32"/>
      <c r="G603" s="32"/>
      <c r="H603" s="32"/>
      <c r="I603" s="32"/>
      <c r="J603" s="32"/>
      <c r="K603" s="32"/>
      <c r="L603" s="32"/>
      <c r="M603" s="32"/>
      <c r="N603" s="32"/>
      <c r="O603" s="32"/>
      <c r="P603" s="32"/>
      <c r="Q603" s="32"/>
      <c r="R603" s="32"/>
      <c r="S603" s="32"/>
      <c r="T603" s="32"/>
      <c r="U603" s="32"/>
      <c r="V603" s="32"/>
      <c r="W603" s="32"/>
      <c r="X603" s="32"/>
      <c r="Y603" s="32"/>
      <c r="Z603" s="32"/>
    </row>
    <row r="604" spans="1:26" ht="13.5" customHeight="1">
      <c r="A604" s="32"/>
      <c r="B604" s="32"/>
      <c r="C604" s="32"/>
      <c r="D604" s="32"/>
      <c r="E604" s="32"/>
      <c r="F604" s="32"/>
      <c r="G604" s="32"/>
      <c r="H604" s="32"/>
      <c r="I604" s="32"/>
      <c r="J604" s="32"/>
      <c r="K604" s="32"/>
      <c r="L604" s="32"/>
      <c r="M604" s="32"/>
      <c r="N604" s="32"/>
      <c r="O604" s="32"/>
      <c r="P604" s="32"/>
      <c r="Q604" s="32"/>
      <c r="R604" s="32"/>
      <c r="S604" s="32"/>
      <c r="T604" s="32"/>
      <c r="U604" s="32"/>
      <c r="V604" s="32"/>
      <c r="W604" s="32"/>
      <c r="X604" s="32"/>
      <c r="Y604" s="32"/>
      <c r="Z604" s="32"/>
    </row>
    <row r="605" spans="1:26" ht="13.5" customHeight="1">
      <c r="A605" s="32"/>
      <c r="B605" s="32"/>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32"/>
    </row>
    <row r="606" spans="1:26" ht="13.5" customHeight="1">
      <c r="A606" s="32"/>
      <c r="B606" s="32"/>
      <c r="C606" s="32"/>
      <c r="D606" s="32"/>
      <c r="E606" s="32"/>
      <c r="F606" s="32"/>
      <c r="G606" s="32"/>
      <c r="H606" s="32"/>
      <c r="I606" s="32"/>
      <c r="J606" s="32"/>
      <c r="K606" s="32"/>
      <c r="L606" s="32"/>
      <c r="M606" s="32"/>
      <c r="N606" s="32"/>
      <c r="O606" s="32"/>
      <c r="P606" s="32"/>
      <c r="Q606" s="32"/>
      <c r="R606" s="32"/>
      <c r="S606" s="32"/>
      <c r="T606" s="32"/>
      <c r="U606" s="32"/>
      <c r="V606" s="32"/>
      <c r="W606" s="32"/>
      <c r="X606" s="32"/>
      <c r="Y606" s="32"/>
      <c r="Z606" s="32"/>
    </row>
    <row r="607" spans="1:26" ht="13.5" customHeight="1">
      <c r="A607" s="32"/>
      <c r="B607" s="32"/>
      <c r="C607" s="32"/>
      <c r="D607" s="32"/>
      <c r="E607" s="32"/>
      <c r="F607" s="32"/>
      <c r="G607" s="32"/>
      <c r="H607" s="32"/>
      <c r="I607" s="32"/>
      <c r="J607" s="32"/>
      <c r="K607" s="32"/>
      <c r="L607" s="32"/>
      <c r="M607" s="32"/>
      <c r="N607" s="32"/>
      <c r="O607" s="32"/>
      <c r="P607" s="32"/>
      <c r="Q607" s="32"/>
      <c r="R607" s="32"/>
      <c r="S607" s="32"/>
      <c r="T607" s="32"/>
      <c r="U607" s="32"/>
      <c r="V607" s="32"/>
      <c r="W607" s="32"/>
      <c r="X607" s="32"/>
      <c r="Y607" s="32"/>
      <c r="Z607" s="32"/>
    </row>
    <row r="608" spans="1:26" ht="13.5" customHeight="1">
      <c r="A608" s="32"/>
      <c r="B608" s="32"/>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32"/>
    </row>
    <row r="609" spans="1:26" ht="13.5" customHeight="1">
      <c r="A609" s="32"/>
      <c r="B609" s="32"/>
      <c r="C609" s="32"/>
      <c r="D609" s="32"/>
      <c r="E609" s="32"/>
      <c r="F609" s="32"/>
      <c r="G609" s="32"/>
      <c r="H609" s="32"/>
      <c r="I609" s="32"/>
      <c r="J609" s="32"/>
      <c r="K609" s="32"/>
      <c r="L609" s="32"/>
      <c r="M609" s="32"/>
      <c r="N609" s="32"/>
      <c r="O609" s="32"/>
      <c r="P609" s="32"/>
      <c r="Q609" s="32"/>
      <c r="R609" s="32"/>
      <c r="S609" s="32"/>
      <c r="T609" s="32"/>
      <c r="U609" s="32"/>
      <c r="V609" s="32"/>
      <c r="W609" s="32"/>
      <c r="X609" s="32"/>
      <c r="Y609" s="32"/>
      <c r="Z609" s="32"/>
    </row>
    <row r="610" spans="1:26" ht="13.5" customHeight="1">
      <c r="A610" s="32"/>
      <c r="B610" s="32"/>
      <c r="C610" s="32"/>
      <c r="D610" s="32"/>
      <c r="E610" s="32"/>
      <c r="F610" s="32"/>
      <c r="G610" s="32"/>
      <c r="H610" s="32"/>
      <c r="I610" s="32"/>
      <c r="J610" s="32"/>
      <c r="K610" s="32"/>
      <c r="L610" s="32"/>
      <c r="M610" s="32"/>
      <c r="N610" s="32"/>
      <c r="O610" s="32"/>
      <c r="P610" s="32"/>
      <c r="Q610" s="32"/>
      <c r="R610" s="32"/>
      <c r="S610" s="32"/>
      <c r="T610" s="32"/>
      <c r="U610" s="32"/>
      <c r="V610" s="32"/>
      <c r="W610" s="32"/>
      <c r="X610" s="32"/>
      <c r="Y610" s="32"/>
      <c r="Z610" s="32"/>
    </row>
    <row r="611" spans="1:26" ht="13.5" customHeight="1">
      <c r="A611" s="32"/>
      <c r="B611" s="32"/>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32"/>
    </row>
    <row r="612" spans="1:26" ht="13.5" customHeight="1">
      <c r="A612" s="32"/>
      <c r="B612" s="32"/>
      <c r="C612" s="32"/>
      <c r="D612" s="32"/>
      <c r="E612" s="32"/>
      <c r="F612" s="32"/>
      <c r="G612" s="32"/>
      <c r="H612" s="32"/>
      <c r="I612" s="32"/>
      <c r="J612" s="32"/>
      <c r="K612" s="32"/>
      <c r="L612" s="32"/>
      <c r="M612" s="32"/>
      <c r="N612" s="32"/>
      <c r="O612" s="32"/>
      <c r="P612" s="32"/>
      <c r="Q612" s="32"/>
      <c r="R612" s="32"/>
      <c r="S612" s="32"/>
      <c r="T612" s="32"/>
      <c r="U612" s="32"/>
      <c r="V612" s="32"/>
      <c r="W612" s="32"/>
      <c r="X612" s="32"/>
      <c r="Y612" s="32"/>
      <c r="Z612" s="32"/>
    </row>
    <row r="613" spans="1:26" ht="13.5" customHeight="1">
      <c r="A613" s="32"/>
      <c r="B613" s="32"/>
      <c r="C613" s="32"/>
      <c r="D613" s="32"/>
      <c r="E613" s="32"/>
      <c r="F613" s="32"/>
      <c r="G613" s="32"/>
      <c r="H613" s="32"/>
      <c r="I613" s="32"/>
      <c r="J613" s="32"/>
      <c r="K613" s="32"/>
      <c r="L613" s="32"/>
      <c r="M613" s="32"/>
      <c r="N613" s="32"/>
      <c r="O613" s="32"/>
      <c r="P613" s="32"/>
      <c r="Q613" s="32"/>
      <c r="R613" s="32"/>
      <c r="S613" s="32"/>
      <c r="T613" s="32"/>
      <c r="U613" s="32"/>
      <c r="V613" s="32"/>
      <c r="W613" s="32"/>
      <c r="X613" s="32"/>
      <c r="Y613" s="32"/>
      <c r="Z613" s="32"/>
    </row>
    <row r="614" spans="1:26" ht="13.5" customHeight="1">
      <c r="A614" s="32"/>
      <c r="B614" s="32"/>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32"/>
    </row>
    <row r="615" spans="1:26" ht="13.5" customHeight="1">
      <c r="A615" s="32"/>
      <c r="B615" s="32"/>
      <c r="C615" s="32"/>
      <c r="D615" s="32"/>
      <c r="E615" s="32"/>
      <c r="F615" s="32"/>
      <c r="G615" s="32"/>
      <c r="H615" s="32"/>
      <c r="I615" s="32"/>
      <c r="J615" s="32"/>
      <c r="K615" s="32"/>
      <c r="L615" s="32"/>
      <c r="M615" s="32"/>
      <c r="N615" s="32"/>
      <c r="O615" s="32"/>
      <c r="P615" s="32"/>
      <c r="Q615" s="32"/>
      <c r="R615" s="32"/>
      <c r="S615" s="32"/>
      <c r="T615" s="32"/>
      <c r="U615" s="32"/>
      <c r="V615" s="32"/>
      <c r="W615" s="32"/>
      <c r="X615" s="32"/>
      <c r="Y615" s="32"/>
      <c r="Z615" s="32"/>
    </row>
    <row r="616" spans="1:26" ht="13.5" customHeight="1">
      <c r="A616" s="32"/>
      <c r="B616" s="32"/>
      <c r="C616" s="32"/>
      <c r="D616" s="32"/>
      <c r="E616" s="32"/>
      <c r="F616" s="32"/>
      <c r="G616" s="32"/>
      <c r="H616" s="32"/>
      <c r="I616" s="32"/>
      <c r="J616" s="32"/>
      <c r="K616" s="32"/>
      <c r="L616" s="32"/>
      <c r="M616" s="32"/>
      <c r="N616" s="32"/>
      <c r="O616" s="32"/>
      <c r="P616" s="32"/>
      <c r="Q616" s="32"/>
      <c r="R616" s="32"/>
      <c r="S616" s="32"/>
      <c r="T616" s="32"/>
      <c r="U616" s="32"/>
      <c r="V616" s="32"/>
      <c r="W616" s="32"/>
      <c r="X616" s="32"/>
      <c r="Y616" s="32"/>
      <c r="Z616" s="32"/>
    </row>
    <row r="617" spans="1:26" ht="13.5" customHeight="1">
      <c r="A617" s="32"/>
      <c r="B617" s="32"/>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32"/>
    </row>
    <row r="618" spans="1:26" ht="13.5" customHeight="1">
      <c r="A618" s="32"/>
      <c r="B618" s="32"/>
      <c r="C618" s="32"/>
      <c r="D618" s="32"/>
      <c r="E618" s="32"/>
      <c r="F618" s="32"/>
      <c r="G618" s="32"/>
      <c r="H618" s="32"/>
      <c r="I618" s="32"/>
      <c r="J618" s="32"/>
      <c r="K618" s="32"/>
      <c r="L618" s="32"/>
      <c r="M618" s="32"/>
      <c r="N618" s="32"/>
      <c r="O618" s="32"/>
      <c r="P618" s="32"/>
      <c r="Q618" s="32"/>
      <c r="R618" s="32"/>
      <c r="S618" s="32"/>
      <c r="T618" s="32"/>
      <c r="U618" s="32"/>
      <c r="V618" s="32"/>
      <c r="W618" s="32"/>
      <c r="X618" s="32"/>
      <c r="Y618" s="32"/>
      <c r="Z618" s="32"/>
    </row>
    <row r="619" spans="1:26" ht="13.5" customHeight="1">
      <c r="A619" s="32"/>
      <c r="B619" s="32"/>
      <c r="C619" s="32"/>
      <c r="D619" s="32"/>
      <c r="E619" s="32"/>
      <c r="F619" s="32"/>
      <c r="G619" s="32"/>
      <c r="H619" s="32"/>
      <c r="I619" s="32"/>
      <c r="J619" s="32"/>
      <c r="K619" s="32"/>
      <c r="L619" s="32"/>
      <c r="M619" s="32"/>
      <c r="N619" s="32"/>
      <c r="O619" s="32"/>
      <c r="P619" s="32"/>
      <c r="Q619" s="32"/>
      <c r="R619" s="32"/>
      <c r="S619" s="32"/>
      <c r="T619" s="32"/>
      <c r="U619" s="32"/>
      <c r="V619" s="32"/>
      <c r="W619" s="32"/>
      <c r="X619" s="32"/>
      <c r="Y619" s="32"/>
      <c r="Z619" s="32"/>
    </row>
    <row r="620" spans="1:26" ht="13.5" customHeight="1">
      <c r="A620" s="32"/>
      <c r="B620" s="32"/>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32"/>
    </row>
    <row r="621" spans="1:26" ht="13.5" customHeight="1">
      <c r="A621" s="32"/>
      <c r="B621" s="32"/>
      <c r="C621" s="32"/>
      <c r="D621" s="32"/>
      <c r="E621" s="32"/>
      <c r="F621" s="32"/>
      <c r="G621" s="32"/>
      <c r="H621" s="32"/>
      <c r="I621" s="32"/>
      <c r="J621" s="32"/>
      <c r="K621" s="32"/>
      <c r="L621" s="32"/>
      <c r="M621" s="32"/>
      <c r="N621" s="32"/>
      <c r="O621" s="32"/>
      <c r="P621" s="32"/>
      <c r="Q621" s="32"/>
      <c r="R621" s="32"/>
      <c r="S621" s="32"/>
      <c r="T621" s="32"/>
      <c r="U621" s="32"/>
      <c r="V621" s="32"/>
      <c r="W621" s="32"/>
      <c r="X621" s="32"/>
      <c r="Y621" s="32"/>
      <c r="Z621" s="32"/>
    </row>
    <row r="622" spans="1:26" ht="13.5" customHeight="1">
      <c r="A622" s="32"/>
      <c r="B622" s="32"/>
      <c r="C622" s="32"/>
      <c r="D622" s="32"/>
      <c r="E622" s="32"/>
      <c r="F622" s="32"/>
      <c r="G622" s="32"/>
      <c r="H622" s="32"/>
      <c r="I622" s="32"/>
      <c r="J622" s="32"/>
      <c r="K622" s="32"/>
      <c r="L622" s="32"/>
      <c r="M622" s="32"/>
      <c r="N622" s="32"/>
      <c r="O622" s="32"/>
      <c r="P622" s="32"/>
      <c r="Q622" s="32"/>
      <c r="R622" s="32"/>
      <c r="S622" s="32"/>
      <c r="T622" s="32"/>
      <c r="U622" s="32"/>
      <c r="V622" s="32"/>
      <c r="W622" s="32"/>
      <c r="X622" s="32"/>
      <c r="Y622" s="32"/>
      <c r="Z622" s="32"/>
    </row>
    <row r="623" spans="1:26" ht="13.5" customHeight="1">
      <c r="A623" s="32"/>
      <c r="B623" s="32"/>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32"/>
    </row>
    <row r="624" spans="1:26" ht="13.5" customHeight="1">
      <c r="A624" s="32"/>
      <c r="B624" s="32"/>
      <c r="C624" s="32"/>
      <c r="D624" s="32"/>
      <c r="E624" s="32"/>
      <c r="F624" s="32"/>
      <c r="G624" s="32"/>
      <c r="H624" s="32"/>
      <c r="I624" s="32"/>
      <c r="J624" s="32"/>
      <c r="K624" s="32"/>
      <c r="L624" s="32"/>
      <c r="M624" s="32"/>
      <c r="N624" s="32"/>
      <c r="O624" s="32"/>
      <c r="P624" s="32"/>
      <c r="Q624" s="32"/>
      <c r="R624" s="32"/>
      <c r="S624" s="32"/>
      <c r="T624" s="32"/>
      <c r="U624" s="32"/>
      <c r="V624" s="32"/>
      <c r="W624" s="32"/>
      <c r="X624" s="32"/>
      <c r="Y624" s="32"/>
      <c r="Z624" s="32"/>
    </row>
    <row r="625" spans="1:26" ht="13.5" customHeight="1">
      <c r="A625" s="32"/>
      <c r="B625" s="32"/>
      <c r="C625" s="32"/>
      <c r="D625" s="32"/>
      <c r="E625" s="32"/>
      <c r="F625" s="32"/>
      <c r="G625" s="32"/>
      <c r="H625" s="32"/>
      <c r="I625" s="32"/>
      <c r="J625" s="32"/>
      <c r="K625" s="32"/>
      <c r="L625" s="32"/>
      <c r="M625" s="32"/>
      <c r="N625" s="32"/>
      <c r="O625" s="32"/>
      <c r="P625" s="32"/>
      <c r="Q625" s="32"/>
      <c r="R625" s="32"/>
      <c r="S625" s="32"/>
      <c r="T625" s="32"/>
      <c r="U625" s="32"/>
      <c r="V625" s="32"/>
      <c r="W625" s="32"/>
      <c r="X625" s="32"/>
      <c r="Y625" s="32"/>
      <c r="Z625" s="32"/>
    </row>
    <row r="626" spans="1:26" ht="13.5" customHeight="1">
      <c r="A626" s="32"/>
      <c r="B626" s="32"/>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32"/>
    </row>
    <row r="627" spans="1:26" ht="13.5" customHeight="1">
      <c r="A627" s="32"/>
      <c r="B627" s="32"/>
      <c r="C627" s="32"/>
      <c r="D627" s="32"/>
      <c r="E627" s="32"/>
      <c r="F627" s="32"/>
      <c r="G627" s="32"/>
      <c r="H627" s="32"/>
      <c r="I627" s="32"/>
      <c r="J627" s="32"/>
      <c r="K627" s="32"/>
      <c r="L627" s="32"/>
      <c r="M627" s="32"/>
      <c r="N627" s="32"/>
      <c r="O627" s="32"/>
      <c r="P627" s="32"/>
      <c r="Q627" s="32"/>
      <c r="R627" s="32"/>
      <c r="S627" s="32"/>
      <c r="T627" s="32"/>
      <c r="U627" s="32"/>
      <c r="V627" s="32"/>
      <c r="W627" s="32"/>
      <c r="X627" s="32"/>
      <c r="Y627" s="32"/>
      <c r="Z627" s="32"/>
    </row>
    <row r="628" spans="1:26" ht="13.5" customHeight="1">
      <c r="A628" s="32"/>
      <c r="B628" s="32"/>
      <c r="C628" s="32"/>
      <c r="D628" s="32"/>
      <c r="E628" s="32"/>
      <c r="F628" s="32"/>
      <c r="G628" s="32"/>
      <c r="H628" s="32"/>
      <c r="I628" s="32"/>
      <c r="J628" s="32"/>
      <c r="K628" s="32"/>
      <c r="L628" s="32"/>
      <c r="M628" s="32"/>
      <c r="N628" s="32"/>
      <c r="O628" s="32"/>
      <c r="P628" s="32"/>
      <c r="Q628" s="32"/>
      <c r="R628" s="32"/>
      <c r="S628" s="32"/>
      <c r="T628" s="32"/>
      <c r="U628" s="32"/>
      <c r="V628" s="32"/>
      <c r="W628" s="32"/>
      <c r="X628" s="32"/>
      <c r="Y628" s="32"/>
      <c r="Z628" s="32"/>
    </row>
    <row r="629" spans="1:26" ht="13.5" customHeight="1">
      <c r="A629" s="32"/>
      <c r="B629" s="32"/>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32"/>
    </row>
    <row r="630" spans="1:26" ht="13.5" customHeight="1">
      <c r="A630" s="32"/>
      <c r="B630" s="32"/>
      <c r="C630" s="32"/>
      <c r="D630" s="32"/>
      <c r="E630" s="32"/>
      <c r="F630" s="32"/>
      <c r="G630" s="32"/>
      <c r="H630" s="32"/>
      <c r="I630" s="32"/>
      <c r="J630" s="32"/>
      <c r="K630" s="32"/>
      <c r="L630" s="32"/>
      <c r="M630" s="32"/>
      <c r="N630" s="32"/>
      <c r="O630" s="32"/>
      <c r="P630" s="32"/>
      <c r="Q630" s="32"/>
      <c r="R630" s="32"/>
      <c r="S630" s="32"/>
      <c r="T630" s="32"/>
      <c r="U630" s="32"/>
      <c r="V630" s="32"/>
      <c r="W630" s="32"/>
      <c r="X630" s="32"/>
      <c r="Y630" s="32"/>
      <c r="Z630" s="32"/>
    </row>
    <row r="631" spans="1:26" ht="13.5" customHeight="1">
      <c r="A631" s="32"/>
      <c r="B631" s="32"/>
      <c r="C631" s="32"/>
      <c r="D631" s="32"/>
      <c r="E631" s="32"/>
      <c r="F631" s="32"/>
      <c r="G631" s="32"/>
      <c r="H631" s="32"/>
      <c r="I631" s="32"/>
      <c r="J631" s="32"/>
      <c r="K631" s="32"/>
      <c r="L631" s="32"/>
      <c r="M631" s="32"/>
      <c r="N631" s="32"/>
      <c r="O631" s="32"/>
      <c r="P631" s="32"/>
      <c r="Q631" s="32"/>
      <c r="R631" s="32"/>
      <c r="S631" s="32"/>
      <c r="T631" s="32"/>
      <c r="U631" s="32"/>
      <c r="V631" s="32"/>
      <c r="W631" s="32"/>
      <c r="X631" s="32"/>
      <c r="Y631" s="32"/>
      <c r="Z631" s="32"/>
    </row>
    <row r="632" spans="1:26" ht="13.5" customHeight="1">
      <c r="A632" s="32"/>
      <c r="B632" s="32"/>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32"/>
    </row>
    <row r="633" spans="1:26" ht="13.5" customHeight="1">
      <c r="A633" s="32"/>
      <c r="B633" s="32"/>
      <c r="C633" s="32"/>
      <c r="D633" s="32"/>
      <c r="E633" s="32"/>
      <c r="F633" s="32"/>
      <c r="G633" s="32"/>
      <c r="H633" s="32"/>
      <c r="I633" s="32"/>
      <c r="J633" s="32"/>
      <c r="K633" s="32"/>
      <c r="L633" s="32"/>
      <c r="M633" s="32"/>
      <c r="N633" s="32"/>
      <c r="O633" s="32"/>
      <c r="P633" s="32"/>
      <c r="Q633" s="32"/>
      <c r="R633" s="32"/>
      <c r="S633" s="32"/>
      <c r="T633" s="32"/>
      <c r="U633" s="32"/>
      <c r="V633" s="32"/>
      <c r="W633" s="32"/>
      <c r="X633" s="32"/>
      <c r="Y633" s="32"/>
      <c r="Z633" s="32"/>
    </row>
    <row r="634" spans="1:26" ht="13.5" customHeight="1">
      <c r="A634" s="32"/>
      <c r="B634" s="32"/>
      <c r="C634" s="32"/>
      <c r="D634" s="32"/>
      <c r="E634" s="32"/>
      <c r="F634" s="32"/>
      <c r="G634" s="32"/>
      <c r="H634" s="32"/>
      <c r="I634" s="32"/>
      <c r="J634" s="32"/>
      <c r="K634" s="32"/>
      <c r="L634" s="32"/>
      <c r="M634" s="32"/>
      <c r="N634" s="32"/>
      <c r="O634" s="32"/>
      <c r="P634" s="32"/>
      <c r="Q634" s="32"/>
      <c r="R634" s="32"/>
      <c r="S634" s="32"/>
      <c r="T634" s="32"/>
      <c r="U634" s="32"/>
      <c r="V634" s="32"/>
      <c r="W634" s="32"/>
      <c r="X634" s="32"/>
      <c r="Y634" s="32"/>
      <c r="Z634" s="32"/>
    </row>
    <row r="635" spans="1:26" ht="13.5" customHeight="1">
      <c r="A635" s="32"/>
      <c r="B635" s="32"/>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32"/>
    </row>
    <row r="636" spans="1:26" ht="13.5" customHeight="1">
      <c r="A636" s="32"/>
      <c r="B636" s="32"/>
      <c r="C636" s="32"/>
      <c r="D636" s="32"/>
      <c r="E636" s="32"/>
      <c r="F636" s="32"/>
      <c r="G636" s="32"/>
      <c r="H636" s="32"/>
      <c r="I636" s="32"/>
      <c r="J636" s="32"/>
      <c r="K636" s="32"/>
      <c r="L636" s="32"/>
      <c r="M636" s="32"/>
      <c r="N636" s="32"/>
      <c r="O636" s="32"/>
      <c r="P636" s="32"/>
      <c r="Q636" s="32"/>
      <c r="R636" s="32"/>
      <c r="S636" s="32"/>
      <c r="T636" s="32"/>
      <c r="U636" s="32"/>
      <c r="V636" s="32"/>
      <c r="W636" s="32"/>
      <c r="X636" s="32"/>
      <c r="Y636" s="32"/>
      <c r="Z636" s="32"/>
    </row>
    <row r="637" spans="1:26" ht="13.5" customHeight="1">
      <c r="A637" s="32"/>
      <c r="B637" s="32"/>
      <c r="C637" s="32"/>
      <c r="D637" s="32"/>
      <c r="E637" s="32"/>
      <c r="F637" s="32"/>
      <c r="G637" s="32"/>
      <c r="H637" s="32"/>
      <c r="I637" s="32"/>
      <c r="J637" s="32"/>
      <c r="K637" s="32"/>
      <c r="L637" s="32"/>
      <c r="M637" s="32"/>
      <c r="N637" s="32"/>
      <c r="O637" s="32"/>
      <c r="P637" s="32"/>
      <c r="Q637" s="32"/>
      <c r="R637" s="32"/>
      <c r="S637" s="32"/>
      <c r="T637" s="32"/>
      <c r="U637" s="32"/>
      <c r="V637" s="32"/>
      <c r="W637" s="32"/>
      <c r="X637" s="32"/>
      <c r="Y637" s="32"/>
      <c r="Z637" s="32"/>
    </row>
    <row r="638" spans="1:26" ht="13.5" customHeight="1">
      <c r="A638" s="32"/>
      <c r="B638" s="32"/>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32"/>
    </row>
    <row r="639" spans="1:26" ht="13.5" customHeight="1">
      <c r="A639" s="32"/>
      <c r="B639" s="32"/>
      <c r="C639" s="32"/>
      <c r="D639" s="32"/>
      <c r="E639" s="32"/>
      <c r="F639" s="32"/>
      <c r="G639" s="32"/>
      <c r="H639" s="32"/>
      <c r="I639" s="32"/>
      <c r="J639" s="32"/>
      <c r="K639" s="32"/>
      <c r="L639" s="32"/>
      <c r="M639" s="32"/>
      <c r="N639" s="32"/>
      <c r="O639" s="32"/>
      <c r="P639" s="32"/>
      <c r="Q639" s="32"/>
      <c r="R639" s="32"/>
      <c r="S639" s="32"/>
      <c r="T639" s="32"/>
      <c r="U639" s="32"/>
      <c r="V639" s="32"/>
      <c r="W639" s="32"/>
      <c r="X639" s="32"/>
      <c r="Y639" s="32"/>
      <c r="Z639" s="32"/>
    </row>
    <row r="640" spans="1:26" ht="13.5" customHeight="1">
      <c r="A640" s="32"/>
      <c r="B640" s="32"/>
      <c r="C640" s="32"/>
      <c r="D640" s="32"/>
      <c r="E640" s="32"/>
      <c r="F640" s="32"/>
      <c r="G640" s="32"/>
      <c r="H640" s="32"/>
      <c r="I640" s="32"/>
      <c r="J640" s="32"/>
      <c r="K640" s="32"/>
      <c r="L640" s="32"/>
      <c r="M640" s="32"/>
      <c r="N640" s="32"/>
      <c r="O640" s="32"/>
      <c r="P640" s="32"/>
      <c r="Q640" s="32"/>
      <c r="R640" s="32"/>
      <c r="S640" s="32"/>
      <c r="T640" s="32"/>
      <c r="U640" s="32"/>
      <c r="V640" s="32"/>
      <c r="W640" s="32"/>
      <c r="X640" s="32"/>
      <c r="Y640" s="32"/>
      <c r="Z640" s="32"/>
    </row>
    <row r="641" spans="1:26" ht="13.5" customHeight="1">
      <c r="A641" s="32"/>
      <c r="B641" s="32"/>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32"/>
    </row>
    <row r="642" spans="1:26" ht="13.5" customHeight="1">
      <c r="A642" s="32"/>
      <c r="B642" s="32"/>
      <c r="C642" s="32"/>
      <c r="D642" s="32"/>
      <c r="E642" s="32"/>
      <c r="F642" s="32"/>
      <c r="G642" s="32"/>
      <c r="H642" s="32"/>
      <c r="I642" s="32"/>
      <c r="J642" s="32"/>
      <c r="K642" s="32"/>
      <c r="L642" s="32"/>
      <c r="M642" s="32"/>
      <c r="N642" s="32"/>
      <c r="O642" s="32"/>
      <c r="P642" s="32"/>
      <c r="Q642" s="32"/>
      <c r="R642" s="32"/>
      <c r="S642" s="32"/>
      <c r="T642" s="32"/>
      <c r="U642" s="32"/>
      <c r="V642" s="32"/>
      <c r="W642" s="32"/>
      <c r="X642" s="32"/>
      <c r="Y642" s="32"/>
      <c r="Z642" s="32"/>
    </row>
    <row r="643" spans="1:26" ht="13.5" customHeight="1">
      <c r="A643" s="32"/>
      <c r="B643" s="32"/>
      <c r="C643" s="32"/>
      <c r="D643" s="32"/>
      <c r="E643" s="32"/>
      <c r="F643" s="32"/>
      <c r="G643" s="32"/>
      <c r="H643" s="32"/>
      <c r="I643" s="32"/>
      <c r="J643" s="32"/>
      <c r="K643" s="32"/>
      <c r="L643" s="32"/>
      <c r="M643" s="32"/>
      <c r="N643" s="32"/>
      <c r="O643" s="32"/>
      <c r="P643" s="32"/>
      <c r="Q643" s="32"/>
      <c r="R643" s="32"/>
      <c r="S643" s="32"/>
      <c r="T643" s="32"/>
      <c r="U643" s="32"/>
      <c r="V643" s="32"/>
      <c r="W643" s="32"/>
      <c r="X643" s="32"/>
      <c r="Y643" s="32"/>
      <c r="Z643" s="32"/>
    </row>
    <row r="644" spans="1:26" ht="13.5" customHeight="1">
      <c r="A644" s="32"/>
      <c r="B644" s="32"/>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32"/>
    </row>
    <row r="645" spans="1:26" ht="13.5" customHeight="1">
      <c r="A645" s="32"/>
      <c r="B645" s="32"/>
      <c r="C645" s="32"/>
      <c r="D645" s="32"/>
      <c r="E645" s="32"/>
      <c r="F645" s="32"/>
      <c r="G645" s="32"/>
      <c r="H645" s="32"/>
      <c r="I645" s="32"/>
      <c r="J645" s="32"/>
      <c r="K645" s="32"/>
      <c r="L645" s="32"/>
      <c r="M645" s="32"/>
      <c r="N645" s="32"/>
      <c r="O645" s="32"/>
      <c r="P645" s="32"/>
      <c r="Q645" s="32"/>
      <c r="R645" s="32"/>
      <c r="S645" s="32"/>
      <c r="T645" s="32"/>
      <c r="U645" s="32"/>
      <c r="V645" s="32"/>
      <c r="W645" s="32"/>
      <c r="X645" s="32"/>
      <c r="Y645" s="32"/>
      <c r="Z645" s="32"/>
    </row>
    <row r="646" spans="1:26" ht="13.5" customHeight="1">
      <c r="A646" s="32"/>
      <c r="B646" s="32"/>
      <c r="C646" s="32"/>
      <c r="D646" s="32"/>
      <c r="E646" s="32"/>
      <c r="F646" s="32"/>
      <c r="G646" s="32"/>
      <c r="H646" s="32"/>
      <c r="I646" s="32"/>
      <c r="J646" s="32"/>
      <c r="K646" s="32"/>
      <c r="L646" s="32"/>
      <c r="M646" s="32"/>
      <c r="N646" s="32"/>
      <c r="O646" s="32"/>
      <c r="P646" s="32"/>
      <c r="Q646" s="32"/>
      <c r="R646" s="32"/>
      <c r="S646" s="32"/>
      <c r="T646" s="32"/>
      <c r="U646" s="32"/>
      <c r="V646" s="32"/>
      <c r="W646" s="32"/>
      <c r="X646" s="32"/>
      <c r="Y646" s="32"/>
      <c r="Z646" s="32"/>
    </row>
    <row r="647" spans="1:26" ht="13.5" customHeight="1">
      <c r="A647" s="32"/>
      <c r="B647" s="32"/>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32"/>
    </row>
    <row r="648" spans="1:26" ht="13.5" customHeight="1">
      <c r="A648" s="32"/>
      <c r="B648" s="32"/>
      <c r="C648" s="32"/>
      <c r="D648" s="32"/>
      <c r="E648" s="32"/>
      <c r="F648" s="32"/>
      <c r="G648" s="32"/>
      <c r="H648" s="32"/>
      <c r="I648" s="32"/>
      <c r="J648" s="32"/>
      <c r="K648" s="32"/>
      <c r="L648" s="32"/>
      <c r="M648" s="32"/>
      <c r="N648" s="32"/>
      <c r="O648" s="32"/>
      <c r="P648" s="32"/>
      <c r="Q648" s="32"/>
      <c r="R648" s="32"/>
      <c r="S648" s="32"/>
      <c r="T648" s="32"/>
      <c r="U648" s="32"/>
      <c r="V648" s="32"/>
      <c r="W648" s="32"/>
      <c r="X648" s="32"/>
      <c r="Y648" s="32"/>
      <c r="Z648" s="32"/>
    </row>
    <row r="649" spans="1:26" ht="13.5" customHeight="1">
      <c r="A649" s="32"/>
      <c r="B649" s="32"/>
      <c r="C649" s="32"/>
      <c r="D649" s="32"/>
      <c r="E649" s="32"/>
      <c r="F649" s="32"/>
      <c r="G649" s="32"/>
      <c r="H649" s="32"/>
      <c r="I649" s="32"/>
      <c r="J649" s="32"/>
      <c r="K649" s="32"/>
      <c r="L649" s="32"/>
      <c r="M649" s="32"/>
      <c r="N649" s="32"/>
      <c r="O649" s="32"/>
      <c r="P649" s="32"/>
      <c r="Q649" s="32"/>
      <c r="R649" s="32"/>
      <c r="S649" s="32"/>
      <c r="T649" s="32"/>
      <c r="U649" s="32"/>
      <c r="V649" s="32"/>
      <c r="W649" s="32"/>
      <c r="X649" s="32"/>
      <c r="Y649" s="32"/>
      <c r="Z649" s="32"/>
    </row>
    <row r="650" spans="1:26" ht="13.5" customHeight="1">
      <c r="A650" s="32"/>
      <c r="B650" s="32"/>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32"/>
    </row>
    <row r="651" spans="1:26" ht="13.5" customHeight="1">
      <c r="A651" s="32"/>
      <c r="B651" s="32"/>
      <c r="C651" s="32"/>
      <c r="D651" s="32"/>
      <c r="E651" s="32"/>
      <c r="F651" s="32"/>
      <c r="G651" s="32"/>
      <c r="H651" s="32"/>
      <c r="I651" s="32"/>
      <c r="J651" s="32"/>
      <c r="K651" s="32"/>
      <c r="L651" s="32"/>
      <c r="M651" s="32"/>
      <c r="N651" s="32"/>
      <c r="O651" s="32"/>
      <c r="P651" s="32"/>
      <c r="Q651" s="32"/>
      <c r="R651" s="32"/>
      <c r="S651" s="32"/>
      <c r="T651" s="32"/>
      <c r="U651" s="32"/>
      <c r="V651" s="32"/>
      <c r="W651" s="32"/>
      <c r="X651" s="32"/>
      <c r="Y651" s="32"/>
      <c r="Z651" s="32"/>
    </row>
    <row r="652" spans="1:26" ht="13.5" customHeight="1">
      <c r="A652" s="32"/>
      <c r="B652" s="32"/>
      <c r="C652" s="32"/>
      <c r="D652" s="32"/>
      <c r="E652" s="32"/>
      <c r="F652" s="32"/>
      <c r="G652" s="32"/>
      <c r="H652" s="32"/>
      <c r="I652" s="32"/>
      <c r="J652" s="32"/>
      <c r="K652" s="32"/>
      <c r="L652" s="32"/>
      <c r="M652" s="32"/>
      <c r="N652" s="32"/>
      <c r="O652" s="32"/>
      <c r="P652" s="32"/>
      <c r="Q652" s="32"/>
      <c r="R652" s="32"/>
      <c r="S652" s="32"/>
      <c r="T652" s="32"/>
      <c r="U652" s="32"/>
      <c r="V652" s="32"/>
      <c r="W652" s="32"/>
      <c r="X652" s="32"/>
      <c r="Y652" s="32"/>
      <c r="Z652" s="32"/>
    </row>
    <row r="653" spans="1:26" ht="13.5" customHeight="1">
      <c r="A653" s="32"/>
      <c r="B653" s="32"/>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32"/>
    </row>
    <row r="654" spans="1:26" ht="13.5" customHeight="1">
      <c r="A654" s="32"/>
      <c r="B654" s="32"/>
      <c r="C654" s="32"/>
      <c r="D654" s="32"/>
      <c r="E654" s="32"/>
      <c r="F654" s="32"/>
      <c r="G654" s="32"/>
      <c r="H654" s="32"/>
      <c r="I654" s="32"/>
      <c r="J654" s="32"/>
      <c r="K654" s="32"/>
      <c r="L654" s="32"/>
      <c r="M654" s="32"/>
      <c r="N654" s="32"/>
      <c r="O654" s="32"/>
      <c r="P654" s="32"/>
      <c r="Q654" s="32"/>
      <c r="R654" s="32"/>
      <c r="S654" s="32"/>
      <c r="T654" s="32"/>
      <c r="U654" s="32"/>
      <c r="V654" s="32"/>
      <c r="W654" s="32"/>
      <c r="X654" s="32"/>
      <c r="Y654" s="32"/>
      <c r="Z654" s="32"/>
    </row>
    <row r="655" spans="1:26" ht="13.5" customHeight="1">
      <c r="A655" s="32"/>
      <c r="B655" s="32"/>
      <c r="C655" s="32"/>
      <c r="D655" s="32"/>
      <c r="E655" s="32"/>
      <c r="F655" s="32"/>
      <c r="G655" s="32"/>
      <c r="H655" s="32"/>
      <c r="I655" s="32"/>
      <c r="J655" s="32"/>
      <c r="K655" s="32"/>
      <c r="L655" s="32"/>
      <c r="M655" s="32"/>
      <c r="N655" s="32"/>
      <c r="O655" s="32"/>
      <c r="P655" s="32"/>
      <c r="Q655" s="32"/>
      <c r="R655" s="32"/>
      <c r="S655" s="32"/>
      <c r="T655" s="32"/>
      <c r="U655" s="32"/>
      <c r="V655" s="32"/>
      <c r="W655" s="32"/>
      <c r="X655" s="32"/>
      <c r="Y655" s="32"/>
      <c r="Z655" s="32"/>
    </row>
    <row r="656" spans="1:26" ht="13.5" customHeight="1">
      <c r="A656" s="32"/>
      <c r="B656" s="32"/>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32"/>
    </row>
    <row r="657" spans="1:26" ht="13.5" customHeight="1">
      <c r="A657" s="32"/>
      <c r="B657" s="32"/>
      <c r="C657" s="32"/>
      <c r="D657" s="32"/>
      <c r="E657" s="32"/>
      <c r="F657" s="32"/>
      <c r="G657" s="32"/>
      <c r="H657" s="32"/>
      <c r="I657" s="32"/>
      <c r="J657" s="32"/>
      <c r="K657" s="32"/>
      <c r="L657" s="32"/>
      <c r="M657" s="32"/>
      <c r="N657" s="32"/>
      <c r="O657" s="32"/>
      <c r="P657" s="32"/>
      <c r="Q657" s="32"/>
      <c r="R657" s="32"/>
      <c r="S657" s="32"/>
      <c r="T657" s="32"/>
      <c r="U657" s="32"/>
      <c r="V657" s="32"/>
      <c r="W657" s="32"/>
      <c r="X657" s="32"/>
      <c r="Y657" s="32"/>
      <c r="Z657" s="32"/>
    </row>
    <row r="658" spans="1:26" ht="13.5" customHeight="1">
      <c r="A658" s="32"/>
      <c r="B658" s="32"/>
      <c r="C658" s="32"/>
      <c r="D658" s="32"/>
      <c r="E658" s="32"/>
      <c r="F658" s="32"/>
      <c r="G658" s="32"/>
      <c r="H658" s="32"/>
      <c r="I658" s="32"/>
      <c r="J658" s="32"/>
      <c r="K658" s="32"/>
      <c r="L658" s="32"/>
      <c r="M658" s="32"/>
      <c r="N658" s="32"/>
      <c r="O658" s="32"/>
      <c r="P658" s="32"/>
      <c r="Q658" s="32"/>
      <c r="R658" s="32"/>
      <c r="S658" s="32"/>
      <c r="T658" s="32"/>
      <c r="U658" s="32"/>
      <c r="V658" s="32"/>
      <c r="W658" s="32"/>
      <c r="X658" s="32"/>
      <c r="Y658" s="32"/>
      <c r="Z658" s="32"/>
    </row>
    <row r="659" spans="1:26" ht="13.5" customHeight="1">
      <c r="A659" s="32"/>
      <c r="B659" s="32"/>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32"/>
    </row>
    <row r="660" spans="1:26" ht="13.5" customHeight="1">
      <c r="A660" s="32"/>
      <c r="B660" s="32"/>
      <c r="C660" s="32"/>
      <c r="D660" s="32"/>
      <c r="E660" s="32"/>
      <c r="F660" s="32"/>
      <c r="G660" s="32"/>
      <c r="H660" s="32"/>
      <c r="I660" s="32"/>
      <c r="J660" s="32"/>
      <c r="K660" s="32"/>
      <c r="L660" s="32"/>
      <c r="M660" s="32"/>
      <c r="N660" s="32"/>
      <c r="O660" s="32"/>
      <c r="P660" s="32"/>
      <c r="Q660" s="32"/>
      <c r="R660" s="32"/>
      <c r="S660" s="32"/>
      <c r="T660" s="32"/>
      <c r="U660" s="32"/>
      <c r="V660" s="32"/>
      <c r="W660" s="32"/>
      <c r="X660" s="32"/>
      <c r="Y660" s="32"/>
      <c r="Z660" s="32"/>
    </row>
    <row r="661" spans="1:26" ht="13.5" customHeight="1">
      <c r="A661" s="32"/>
      <c r="B661" s="32"/>
      <c r="C661" s="32"/>
      <c r="D661" s="32"/>
      <c r="E661" s="32"/>
      <c r="F661" s="32"/>
      <c r="G661" s="32"/>
      <c r="H661" s="32"/>
      <c r="I661" s="32"/>
      <c r="J661" s="32"/>
      <c r="K661" s="32"/>
      <c r="L661" s="32"/>
      <c r="M661" s="32"/>
      <c r="N661" s="32"/>
      <c r="O661" s="32"/>
      <c r="P661" s="32"/>
      <c r="Q661" s="32"/>
      <c r="R661" s="32"/>
      <c r="S661" s="32"/>
      <c r="T661" s="32"/>
      <c r="U661" s="32"/>
      <c r="V661" s="32"/>
      <c r="W661" s="32"/>
      <c r="X661" s="32"/>
      <c r="Y661" s="32"/>
      <c r="Z661" s="32"/>
    </row>
    <row r="662" spans="1:26" ht="13.5" customHeight="1">
      <c r="A662" s="32"/>
      <c r="B662" s="32"/>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32"/>
    </row>
    <row r="663" spans="1:26" ht="13.5" customHeight="1">
      <c r="A663" s="32"/>
      <c r="B663" s="32"/>
      <c r="C663" s="32"/>
      <c r="D663" s="32"/>
      <c r="E663" s="32"/>
      <c r="F663" s="32"/>
      <c r="G663" s="32"/>
      <c r="H663" s="32"/>
      <c r="I663" s="32"/>
      <c r="J663" s="32"/>
      <c r="K663" s="32"/>
      <c r="L663" s="32"/>
      <c r="M663" s="32"/>
      <c r="N663" s="32"/>
      <c r="O663" s="32"/>
      <c r="P663" s="32"/>
      <c r="Q663" s="32"/>
      <c r="R663" s="32"/>
      <c r="S663" s="32"/>
      <c r="T663" s="32"/>
      <c r="U663" s="32"/>
      <c r="V663" s="32"/>
      <c r="W663" s="32"/>
      <c r="X663" s="32"/>
      <c r="Y663" s="32"/>
      <c r="Z663" s="32"/>
    </row>
    <row r="664" spans="1:26" ht="13.5" customHeight="1">
      <c r="A664" s="32"/>
      <c r="B664" s="32"/>
      <c r="C664" s="32"/>
      <c r="D664" s="32"/>
      <c r="E664" s="32"/>
      <c r="F664" s="32"/>
      <c r="G664" s="32"/>
      <c r="H664" s="32"/>
      <c r="I664" s="32"/>
      <c r="J664" s="32"/>
      <c r="K664" s="32"/>
      <c r="L664" s="32"/>
      <c r="M664" s="32"/>
      <c r="N664" s="32"/>
      <c r="O664" s="32"/>
      <c r="P664" s="32"/>
      <c r="Q664" s="32"/>
      <c r="R664" s="32"/>
      <c r="S664" s="32"/>
      <c r="T664" s="32"/>
      <c r="U664" s="32"/>
      <c r="V664" s="32"/>
      <c r="W664" s="32"/>
      <c r="X664" s="32"/>
      <c r="Y664" s="32"/>
      <c r="Z664" s="32"/>
    </row>
    <row r="665" spans="1:26" ht="13.5" customHeight="1">
      <c r="A665" s="32"/>
      <c r="B665" s="32"/>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32"/>
    </row>
    <row r="666" spans="1:26" ht="13.5" customHeight="1">
      <c r="A666" s="32"/>
      <c r="B666" s="32"/>
      <c r="C666" s="32"/>
      <c r="D666" s="32"/>
      <c r="E666" s="32"/>
      <c r="F666" s="32"/>
      <c r="G666" s="32"/>
      <c r="H666" s="32"/>
      <c r="I666" s="32"/>
      <c r="J666" s="32"/>
      <c r="K666" s="32"/>
      <c r="L666" s="32"/>
      <c r="M666" s="32"/>
      <c r="N666" s="32"/>
      <c r="O666" s="32"/>
      <c r="P666" s="32"/>
      <c r="Q666" s="32"/>
      <c r="R666" s="32"/>
      <c r="S666" s="32"/>
      <c r="T666" s="32"/>
      <c r="U666" s="32"/>
      <c r="V666" s="32"/>
      <c r="W666" s="32"/>
      <c r="X666" s="32"/>
      <c r="Y666" s="32"/>
      <c r="Z666" s="32"/>
    </row>
    <row r="667" spans="1:26" ht="13.5" customHeight="1">
      <c r="A667" s="32"/>
      <c r="B667" s="32"/>
      <c r="C667" s="32"/>
      <c r="D667" s="32"/>
      <c r="E667" s="32"/>
      <c r="F667" s="32"/>
      <c r="G667" s="32"/>
      <c r="H667" s="32"/>
      <c r="I667" s="32"/>
      <c r="J667" s="32"/>
      <c r="K667" s="32"/>
      <c r="L667" s="32"/>
      <c r="M667" s="32"/>
      <c r="N667" s="32"/>
      <c r="O667" s="32"/>
      <c r="P667" s="32"/>
      <c r="Q667" s="32"/>
      <c r="R667" s="32"/>
      <c r="S667" s="32"/>
      <c r="T667" s="32"/>
      <c r="U667" s="32"/>
      <c r="V667" s="32"/>
      <c r="W667" s="32"/>
      <c r="X667" s="32"/>
      <c r="Y667" s="32"/>
      <c r="Z667" s="32"/>
    </row>
    <row r="668" spans="1:26" ht="13.5" customHeight="1">
      <c r="A668" s="32"/>
      <c r="B668" s="32"/>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32"/>
    </row>
    <row r="669" spans="1:26" ht="13.5" customHeight="1">
      <c r="A669" s="32"/>
      <c r="B669" s="32"/>
      <c r="C669" s="32"/>
      <c r="D669" s="32"/>
      <c r="E669" s="32"/>
      <c r="F669" s="32"/>
      <c r="G669" s="32"/>
      <c r="H669" s="32"/>
      <c r="I669" s="32"/>
      <c r="J669" s="32"/>
      <c r="K669" s="32"/>
      <c r="L669" s="32"/>
      <c r="M669" s="32"/>
      <c r="N669" s="32"/>
      <c r="O669" s="32"/>
      <c r="P669" s="32"/>
      <c r="Q669" s="32"/>
      <c r="R669" s="32"/>
      <c r="S669" s="32"/>
      <c r="T669" s="32"/>
      <c r="U669" s="32"/>
      <c r="V669" s="32"/>
      <c r="W669" s="32"/>
      <c r="X669" s="32"/>
      <c r="Y669" s="32"/>
      <c r="Z669" s="32"/>
    </row>
    <row r="670" spans="1:26" ht="13.5" customHeight="1">
      <c r="A670" s="32"/>
      <c r="B670" s="32"/>
      <c r="C670" s="32"/>
      <c r="D670" s="32"/>
      <c r="E670" s="32"/>
      <c r="F670" s="32"/>
      <c r="G670" s="32"/>
      <c r="H670" s="32"/>
      <c r="I670" s="32"/>
      <c r="J670" s="32"/>
      <c r="K670" s="32"/>
      <c r="L670" s="32"/>
      <c r="M670" s="32"/>
      <c r="N670" s="32"/>
      <c r="O670" s="32"/>
      <c r="P670" s="32"/>
      <c r="Q670" s="32"/>
      <c r="R670" s="32"/>
      <c r="S670" s="32"/>
      <c r="T670" s="32"/>
      <c r="U670" s="32"/>
      <c r="V670" s="32"/>
      <c r="W670" s="32"/>
      <c r="X670" s="32"/>
      <c r="Y670" s="32"/>
      <c r="Z670" s="32"/>
    </row>
    <row r="671" spans="1:26" ht="13.5" customHeight="1">
      <c r="A671" s="32"/>
      <c r="B671" s="32"/>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32"/>
    </row>
    <row r="672" spans="1:26" ht="13.5" customHeight="1">
      <c r="A672" s="32"/>
      <c r="B672" s="32"/>
      <c r="C672" s="32"/>
      <c r="D672" s="32"/>
      <c r="E672" s="32"/>
      <c r="F672" s="32"/>
      <c r="G672" s="32"/>
      <c r="H672" s="32"/>
      <c r="I672" s="32"/>
      <c r="J672" s="32"/>
      <c r="K672" s="32"/>
      <c r="L672" s="32"/>
      <c r="M672" s="32"/>
      <c r="N672" s="32"/>
      <c r="O672" s="32"/>
      <c r="P672" s="32"/>
      <c r="Q672" s="32"/>
      <c r="R672" s="32"/>
      <c r="S672" s="32"/>
      <c r="T672" s="32"/>
      <c r="U672" s="32"/>
      <c r="V672" s="32"/>
      <c r="W672" s="32"/>
      <c r="X672" s="32"/>
      <c r="Y672" s="32"/>
      <c r="Z672" s="32"/>
    </row>
    <row r="673" spans="1:26" ht="13.5" customHeight="1">
      <c r="A673" s="32"/>
      <c r="B673" s="32"/>
      <c r="C673" s="32"/>
      <c r="D673" s="32"/>
      <c r="E673" s="32"/>
      <c r="F673" s="32"/>
      <c r="G673" s="32"/>
      <c r="H673" s="32"/>
      <c r="I673" s="32"/>
      <c r="J673" s="32"/>
      <c r="K673" s="32"/>
      <c r="L673" s="32"/>
      <c r="M673" s="32"/>
      <c r="N673" s="32"/>
      <c r="O673" s="32"/>
      <c r="P673" s="32"/>
      <c r="Q673" s="32"/>
      <c r="R673" s="32"/>
      <c r="S673" s="32"/>
      <c r="T673" s="32"/>
      <c r="U673" s="32"/>
      <c r="V673" s="32"/>
      <c r="W673" s="32"/>
      <c r="X673" s="32"/>
      <c r="Y673" s="32"/>
      <c r="Z673" s="32"/>
    </row>
    <row r="674" spans="1:26" ht="13.5" customHeight="1">
      <c r="A674" s="32"/>
      <c r="B674" s="32"/>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32"/>
    </row>
    <row r="675" spans="1:26" ht="13.5" customHeight="1">
      <c r="A675" s="32"/>
      <c r="B675" s="32"/>
      <c r="C675" s="32"/>
      <c r="D675" s="32"/>
      <c r="E675" s="32"/>
      <c r="F675" s="32"/>
      <c r="G675" s="32"/>
      <c r="H675" s="32"/>
      <c r="I675" s="32"/>
      <c r="J675" s="32"/>
      <c r="K675" s="32"/>
      <c r="L675" s="32"/>
      <c r="M675" s="32"/>
      <c r="N675" s="32"/>
      <c r="O675" s="32"/>
      <c r="P675" s="32"/>
      <c r="Q675" s="32"/>
      <c r="R675" s="32"/>
      <c r="S675" s="32"/>
      <c r="T675" s="32"/>
      <c r="U675" s="32"/>
      <c r="V675" s="32"/>
      <c r="W675" s="32"/>
      <c r="X675" s="32"/>
      <c r="Y675" s="32"/>
      <c r="Z675" s="32"/>
    </row>
    <row r="676" spans="1:26" ht="13.5" customHeight="1">
      <c r="A676" s="32"/>
      <c r="B676" s="32"/>
      <c r="C676" s="32"/>
      <c r="D676" s="32"/>
      <c r="E676" s="32"/>
      <c r="F676" s="32"/>
      <c r="G676" s="32"/>
      <c r="H676" s="32"/>
      <c r="I676" s="32"/>
      <c r="J676" s="32"/>
      <c r="K676" s="32"/>
      <c r="L676" s="32"/>
      <c r="M676" s="32"/>
      <c r="N676" s="32"/>
      <c r="O676" s="32"/>
      <c r="P676" s="32"/>
      <c r="Q676" s="32"/>
      <c r="R676" s="32"/>
      <c r="S676" s="32"/>
      <c r="T676" s="32"/>
      <c r="U676" s="32"/>
      <c r="V676" s="32"/>
      <c r="W676" s="32"/>
      <c r="X676" s="32"/>
      <c r="Y676" s="32"/>
      <c r="Z676" s="32"/>
    </row>
    <row r="677" spans="1:26" ht="13.5" customHeight="1">
      <c r="A677" s="32"/>
      <c r="B677" s="32"/>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32"/>
    </row>
    <row r="678" spans="1:26" ht="13.5" customHeight="1">
      <c r="A678" s="32"/>
      <c r="B678" s="32"/>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row>
    <row r="679" spans="1:26" ht="13.5" customHeight="1">
      <c r="A679" s="32"/>
      <c r="B679" s="32"/>
      <c r="C679" s="32"/>
      <c r="D679" s="32"/>
      <c r="E679" s="32"/>
      <c r="F679" s="32"/>
      <c r="G679" s="32"/>
      <c r="H679" s="32"/>
      <c r="I679" s="32"/>
      <c r="J679" s="32"/>
      <c r="K679" s="32"/>
      <c r="L679" s="32"/>
      <c r="M679" s="32"/>
      <c r="N679" s="32"/>
      <c r="O679" s="32"/>
      <c r="P679" s="32"/>
      <c r="Q679" s="32"/>
      <c r="R679" s="32"/>
      <c r="S679" s="32"/>
      <c r="T679" s="32"/>
      <c r="U679" s="32"/>
      <c r="V679" s="32"/>
      <c r="W679" s="32"/>
      <c r="X679" s="32"/>
      <c r="Y679" s="32"/>
      <c r="Z679" s="32"/>
    </row>
    <row r="680" spans="1:26" ht="13.5" customHeight="1">
      <c r="A680" s="32"/>
      <c r="B680" s="32"/>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32"/>
    </row>
    <row r="681" spans="1:26" ht="13.5" customHeight="1">
      <c r="A681" s="32"/>
      <c r="B681" s="32"/>
      <c r="C681" s="32"/>
      <c r="D681" s="32"/>
      <c r="E681" s="32"/>
      <c r="F681" s="32"/>
      <c r="G681" s="32"/>
      <c r="H681" s="32"/>
      <c r="I681" s="32"/>
      <c r="J681" s="32"/>
      <c r="K681" s="32"/>
      <c r="L681" s="32"/>
      <c r="M681" s="32"/>
      <c r="N681" s="32"/>
      <c r="O681" s="32"/>
      <c r="P681" s="32"/>
      <c r="Q681" s="32"/>
      <c r="R681" s="32"/>
      <c r="S681" s="32"/>
      <c r="T681" s="32"/>
      <c r="U681" s="32"/>
      <c r="V681" s="32"/>
      <c r="W681" s="32"/>
      <c r="X681" s="32"/>
      <c r="Y681" s="32"/>
      <c r="Z681" s="32"/>
    </row>
    <row r="682" spans="1:26" ht="13.5" customHeight="1">
      <c r="A682" s="32"/>
      <c r="B682" s="32"/>
      <c r="C682" s="32"/>
      <c r="D682" s="32"/>
      <c r="E682" s="32"/>
      <c r="F682" s="32"/>
      <c r="G682" s="32"/>
      <c r="H682" s="32"/>
      <c r="I682" s="32"/>
      <c r="J682" s="32"/>
      <c r="K682" s="32"/>
      <c r="L682" s="32"/>
      <c r="M682" s="32"/>
      <c r="N682" s="32"/>
      <c r="O682" s="32"/>
      <c r="P682" s="32"/>
      <c r="Q682" s="32"/>
      <c r="R682" s="32"/>
      <c r="S682" s="32"/>
      <c r="T682" s="32"/>
      <c r="U682" s="32"/>
      <c r="V682" s="32"/>
      <c r="W682" s="32"/>
      <c r="X682" s="32"/>
      <c r="Y682" s="32"/>
      <c r="Z682" s="32"/>
    </row>
    <row r="683" spans="1:26" ht="13.5" customHeight="1">
      <c r="A683" s="32"/>
      <c r="B683" s="32"/>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32"/>
    </row>
    <row r="684" spans="1:26" ht="13.5" customHeight="1">
      <c r="A684" s="32"/>
      <c r="B684" s="32"/>
      <c r="C684" s="32"/>
      <c r="D684" s="32"/>
      <c r="E684" s="32"/>
      <c r="F684" s="32"/>
      <c r="G684" s="32"/>
      <c r="H684" s="32"/>
      <c r="I684" s="32"/>
      <c r="J684" s="32"/>
      <c r="K684" s="32"/>
      <c r="L684" s="32"/>
      <c r="M684" s="32"/>
      <c r="N684" s="32"/>
      <c r="O684" s="32"/>
      <c r="P684" s="32"/>
      <c r="Q684" s="32"/>
      <c r="R684" s="32"/>
      <c r="S684" s="32"/>
      <c r="T684" s="32"/>
      <c r="U684" s="32"/>
      <c r="V684" s="32"/>
      <c r="W684" s="32"/>
      <c r="X684" s="32"/>
      <c r="Y684" s="32"/>
      <c r="Z684" s="32"/>
    </row>
    <row r="685" spans="1:26" ht="13.5" customHeight="1">
      <c r="A685" s="32"/>
      <c r="B685" s="32"/>
      <c r="C685" s="32"/>
      <c r="D685" s="32"/>
      <c r="E685" s="32"/>
      <c r="F685" s="32"/>
      <c r="G685" s="32"/>
      <c r="H685" s="32"/>
      <c r="I685" s="32"/>
      <c r="J685" s="32"/>
      <c r="K685" s="32"/>
      <c r="L685" s="32"/>
      <c r="M685" s="32"/>
      <c r="N685" s="32"/>
      <c r="O685" s="32"/>
      <c r="P685" s="32"/>
      <c r="Q685" s="32"/>
      <c r="R685" s="32"/>
      <c r="S685" s="32"/>
      <c r="T685" s="32"/>
      <c r="U685" s="32"/>
      <c r="V685" s="32"/>
      <c r="W685" s="32"/>
      <c r="X685" s="32"/>
      <c r="Y685" s="32"/>
      <c r="Z685" s="32"/>
    </row>
    <row r="686" spans="1:26" ht="13.5" customHeight="1">
      <c r="A686" s="32"/>
      <c r="B686" s="32"/>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32"/>
    </row>
    <row r="687" spans="1:26" ht="13.5" customHeight="1">
      <c r="A687" s="32"/>
      <c r="B687" s="32"/>
      <c r="C687" s="32"/>
      <c r="D687" s="32"/>
      <c r="E687" s="32"/>
      <c r="F687" s="32"/>
      <c r="G687" s="32"/>
      <c r="H687" s="32"/>
      <c r="I687" s="32"/>
      <c r="J687" s="32"/>
      <c r="K687" s="32"/>
      <c r="L687" s="32"/>
      <c r="M687" s="32"/>
      <c r="N687" s="32"/>
      <c r="O687" s="32"/>
      <c r="P687" s="32"/>
      <c r="Q687" s="32"/>
      <c r="R687" s="32"/>
      <c r="S687" s="32"/>
      <c r="T687" s="32"/>
      <c r="U687" s="32"/>
      <c r="V687" s="32"/>
      <c r="W687" s="32"/>
      <c r="X687" s="32"/>
      <c r="Y687" s="32"/>
      <c r="Z687" s="32"/>
    </row>
    <row r="688" spans="1:26" ht="13.5" customHeight="1">
      <c r="A688" s="32"/>
      <c r="B688" s="32"/>
      <c r="C688" s="32"/>
      <c r="D688" s="32"/>
      <c r="E688" s="32"/>
      <c r="F688" s="32"/>
      <c r="G688" s="32"/>
      <c r="H688" s="32"/>
      <c r="I688" s="32"/>
      <c r="J688" s="32"/>
      <c r="K688" s="32"/>
      <c r="L688" s="32"/>
      <c r="M688" s="32"/>
      <c r="N688" s="32"/>
      <c r="O688" s="32"/>
      <c r="P688" s="32"/>
      <c r="Q688" s="32"/>
      <c r="R688" s="32"/>
      <c r="S688" s="32"/>
      <c r="T688" s="32"/>
      <c r="U688" s="32"/>
      <c r="V688" s="32"/>
      <c r="W688" s="32"/>
      <c r="X688" s="32"/>
      <c r="Y688" s="32"/>
      <c r="Z688" s="32"/>
    </row>
    <row r="689" spans="1:26" ht="13.5" customHeight="1">
      <c r="A689" s="32"/>
      <c r="B689" s="32"/>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32"/>
    </row>
    <row r="690" spans="1:26" ht="13.5" customHeight="1">
      <c r="A690" s="32"/>
      <c r="B690" s="32"/>
      <c r="C690" s="32"/>
      <c r="D690" s="32"/>
      <c r="E690" s="32"/>
      <c r="F690" s="32"/>
      <c r="G690" s="32"/>
      <c r="H690" s="32"/>
      <c r="I690" s="32"/>
      <c r="J690" s="32"/>
      <c r="K690" s="32"/>
      <c r="L690" s="32"/>
      <c r="M690" s="32"/>
      <c r="N690" s="32"/>
      <c r="O690" s="32"/>
      <c r="P690" s="32"/>
      <c r="Q690" s="32"/>
      <c r="R690" s="32"/>
      <c r="S690" s="32"/>
      <c r="T690" s="32"/>
      <c r="U690" s="32"/>
      <c r="V690" s="32"/>
      <c r="W690" s="32"/>
      <c r="X690" s="32"/>
      <c r="Y690" s="32"/>
      <c r="Z690" s="32"/>
    </row>
    <row r="691" spans="1:26" ht="13.5" customHeight="1">
      <c r="A691" s="32"/>
      <c r="B691" s="32"/>
      <c r="C691" s="32"/>
      <c r="D691" s="32"/>
      <c r="E691" s="32"/>
      <c r="F691" s="32"/>
      <c r="G691" s="32"/>
      <c r="H691" s="32"/>
      <c r="I691" s="32"/>
      <c r="J691" s="32"/>
      <c r="K691" s="32"/>
      <c r="L691" s="32"/>
      <c r="M691" s="32"/>
      <c r="N691" s="32"/>
      <c r="O691" s="32"/>
      <c r="P691" s="32"/>
      <c r="Q691" s="32"/>
      <c r="R691" s="32"/>
      <c r="S691" s="32"/>
      <c r="T691" s="32"/>
      <c r="U691" s="32"/>
      <c r="V691" s="32"/>
      <c r="W691" s="32"/>
      <c r="X691" s="32"/>
      <c r="Y691" s="32"/>
      <c r="Z691" s="32"/>
    </row>
    <row r="692" spans="1:26" ht="13.5" customHeight="1">
      <c r="A692" s="32"/>
      <c r="B692" s="32"/>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32"/>
    </row>
    <row r="693" spans="1:26" ht="13.5" customHeight="1">
      <c r="A693" s="32"/>
      <c r="B693" s="32"/>
      <c r="C693" s="32"/>
      <c r="D693" s="32"/>
      <c r="E693" s="32"/>
      <c r="F693" s="32"/>
      <c r="G693" s="32"/>
      <c r="H693" s="32"/>
      <c r="I693" s="32"/>
      <c r="J693" s="32"/>
      <c r="K693" s="32"/>
      <c r="L693" s="32"/>
      <c r="M693" s="32"/>
      <c r="N693" s="32"/>
      <c r="O693" s="32"/>
      <c r="P693" s="32"/>
      <c r="Q693" s="32"/>
      <c r="R693" s="32"/>
      <c r="S693" s="32"/>
      <c r="T693" s="32"/>
      <c r="U693" s="32"/>
      <c r="V693" s="32"/>
      <c r="W693" s="32"/>
      <c r="X693" s="32"/>
      <c r="Y693" s="32"/>
      <c r="Z693" s="32"/>
    </row>
    <row r="694" spans="1:26" ht="13.5" customHeight="1">
      <c r="A694" s="32"/>
      <c r="B694" s="32"/>
      <c r="C694" s="32"/>
      <c r="D694" s="32"/>
      <c r="E694" s="32"/>
      <c r="F694" s="32"/>
      <c r="G694" s="32"/>
      <c r="H694" s="32"/>
      <c r="I694" s="32"/>
      <c r="J694" s="32"/>
      <c r="K694" s="32"/>
      <c r="L694" s="32"/>
      <c r="M694" s="32"/>
      <c r="N694" s="32"/>
      <c r="O694" s="32"/>
      <c r="P694" s="32"/>
      <c r="Q694" s="32"/>
      <c r="R694" s="32"/>
      <c r="S694" s="32"/>
      <c r="T694" s="32"/>
      <c r="U694" s="32"/>
      <c r="V694" s="32"/>
      <c r="W694" s="32"/>
      <c r="X694" s="32"/>
      <c r="Y694" s="32"/>
      <c r="Z694" s="32"/>
    </row>
    <row r="695" spans="1:26" ht="13.5" customHeight="1">
      <c r="A695" s="32"/>
      <c r="B695" s="32"/>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32"/>
    </row>
    <row r="696" spans="1:26" ht="13.5" customHeight="1">
      <c r="A696" s="32"/>
      <c r="B696" s="32"/>
      <c r="C696" s="32"/>
      <c r="D696" s="32"/>
      <c r="E696" s="32"/>
      <c r="F696" s="32"/>
      <c r="G696" s="32"/>
      <c r="H696" s="32"/>
      <c r="I696" s="32"/>
      <c r="J696" s="32"/>
      <c r="K696" s="32"/>
      <c r="L696" s="32"/>
      <c r="M696" s="32"/>
      <c r="N696" s="32"/>
      <c r="O696" s="32"/>
      <c r="P696" s="32"/>
      <c r="Q696" s="32"/>
      <c r="R696" s="32"/>
      <c r="S696" s="32"/>
      <c r="T696" s="32"/>
      <c r="U696" s="32"/>
      <c r="V696" s="32"/>
      <c r="W696" s="32"/>
      <c r="X696" s="32"/>
      <c r="Y696" s="32"/>
      <c r="Z696" s="32"/>
    </row>
    <row r="697" spans="1:26" ht="13.5" customHeight="1">
      <c r="A697" s="32"/>
      <c r="B697" s="32"/>
      <c r="C697" s="32"/>
      <c r="D697" s="32"/>
      <c r="E697" s="32"/>
      <c r="F697" s="32"/>
      <c r="G697" s="32"/>
      <c r="H697" s="32"/>
      <c r="I697" s="32"/>
      <c r="J697" s="32"/>
      <c r="K697" s="32"/>
      <c r="L697" s="32"/>
      <c r="M697" s="32"/>
      <c r="N697" s="32"/>
      <c r="O697" s="32"/>
      <c r="P697" s="32"/>
      <c r="Q697" s="32"/>
      <c r="R697" s="32"/>
      <c r="S697" s="32"/>
      <c r="T697" s="32"/>
      <c r="U697" s="32"/>
      <c r="V697" s="32"/>
      <c r="W697" s="32"/>
      <c r="X697" s="32"/>
      <c r="Y697" s="32"/>
      <c r="Z697" s="32"/>
    </row>
    <row r="698" spans="1:26" ht="13.5" customHeight="1">
      <c r="A698" s="32"/>
      <c r="B698" s="32"/>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32"/>
    </row>
    <row r="699" spans="1:26" ht="13.5" customHeight="1">
      <c r="A699" s="32"/>
      <c r="B699" s="32"/>
      <c r="C699" s="32"/>
      <c r="D699" s="32"/>
      <c r="E699" s="32"/>
      <c r="F699" s="32"/>
      <c r="G699" s="32"/>
      <c r="H699" s="32"/>
      <c r="I699" s="32"/>
      <c r="J699" s="32"/>
      <c r="K699" s="32"/>
      <c r="L699" s="32"/>
      <c r="M699" s="32"/>
      <c r="N699" s="32"/>
      <c r="O699" s="32"/>
      <c r="P699" s="32"/>
      <c r="Q699" s="32"/>
      <c r="R699" s="32"/>
      <c r="S699" s="32"/>
      <c r="T699" s="32"/>
      <c r="U699" s="32"/>
      <c r="V699" s="32"/>
      <c r="W699" s="32"/>
      <c r="X699" s="32"/>
      <c r="Y699" s="32"/>
      <c r="Z699" s="32"/>
    </row>
    <row r="700" spans="1:26" ht="13.5" customHeight="1">
      <c r="A700" s="32"/>
      <c r="B700" s="32"/>
      <c r="C700" s="32"/>
      <c r="D700" s="32"/>
      <c r="E700" s="32"/>
      <c r="F700" s="32"/>
      <c r="G700" s="32"/>
      <c r="H700" s="32"/>
      <c r="I700" s="32"/>
      <c r="J700" s="32"/>
      <c r="K700" s="32"/>
      <c r="L700" s="32"/>
      <c r="M700" s="32"/>
      <c r="N700" s="32"/>
      <c r="O700" s="32"/>
      <c r="P700" s="32"/>
      <c r="Q700" s="32"/>
      <c r="R700" s="32"/>
      <c r="S700" s="32"/>
      <c r="T700" s="32"/>
      <c r="U700" s="32"/>
      <c r="V700" s="32"/>
      <c r="W700" s="32"/>
      <c r="X700" s="32"/>
      <c r="Y700" s="32"/>
      <c r="Z700" s="32"/>
    </row>
    <row r="701" spans="1:26" ht="13.5" customHeight="1">
      <c r="A701" s="32"/>
      <c r="B701" s="32"/>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32"/>
    </row>
    <row r="702" spans="1:26" ht="13.5" customHeight="1">
      <c r="A702" s="32"/>
      <c r="B702" s="32"/>
      <c r="C702" s="32"/>
      <c r="D702" s="32"/>
      <c r="E702" s="32"/>
      <c r="F702" s="32"/>
      <c r="G702" s="32"/>
      <c r="H702" s="32"/>
      <c r="I702" s="32"/>
      <c r="J702" s="32"/>
      <c r="K702" s="32"/>
      <c r="L702" s="32"/>
      <c r="M702" s="32"/>
      <c r="N702" s="32"/>
      <c r="O702" s="32"/>
      <c r="P702" s="32"/>
      <c r="Q702" s="32"/>
      <c r="R702" s="32"/>
      <c r="S702" s="32"/>
      <c r="T702" s="32"/>
      <c r="U702" s="32"/>
      <c r="V702" s="32"/>
      <c r="W702" s="32"/>
      <c r="X702" s="32"/>
      <c r="Y702" s="32"/>
      <c r="Z702" s="32"/>
    </row>
    <row r="703" spans="1:26" ht="13.5" customHeight="1">
      <c r="A703" s="32"/>
      <c r="B703" s="32"/>
      <c r="C703" s="32"/>
      <c r="D703" s="32"/>
      <c r="E703" s="32"/>
      <c r="F703" s="32"/>
      <c r="G703" s="32"/>
      <c r="H703" s="32"/>
      <c r="I703" s="32"/>
      <c r="J703" s="32"/>
      <c r="K703" s="32"/>
      <c r="L703" s="32"/>
      <c r="M703" s="32"/>
      <c r="N703" s="32"/>
      <c r="O703" s="32"/>
      <c r="P703" s="32"/>
      <c r="Q703" s="32"/>
      <c r="R703" s="32"/>
      <c r="S703" s="32"/>
      <c r="T703" s="32"/>
      <c r="U703" s="32"/>
      <c r="V703" s="32"/>
      <c r="W703" s="32"/>
      <c r="X703" s="32"/>
      <c r="Y703" s="32"/>
      <c r="Z703" s="32"/>
    </row>
    <row r="704" spans="1:26" ht="13.5" customHeight="1">
      <c r="A704" s="32"/>
      <c r="B704" s="32"/>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32"/>
    </row>
    <row r="705" spans="1:26" ht="13.5" customHeight="1">
      <c r="A705" s="32"/>
      <c r="B705" s="32"/>
      <c r="C705" s="32"/>
      <c r="D705" s="32"/>
      <c r="E705" s="32"/>
      <c r="F705" s="32"/>
      <c r="G705" s="32"/>
      <c r="H705" s="32"/>
      <c r="I705" s="32"/>
      <c r="J705" s="32"/>
      <c r="K705" s="32"/>
      <c r="L705" s="32"/>
      <c r="M705" s="32"/>
      <c r="N705" s="32"/>
      <c r="O705" s="32"/>
      <c r="P705" s="32"/>
      <c r="Q705" s="32"/>
      <c r="R705" s="32"/>
      <c r="S705" s="32"/>
      <c r="T705" s="32"/>
      <c r="U705" s="32"/>
      <c r="V705" s="32"/>
      <c r="W705" s="32"/>
      <c r="X705" s="32"/>
      <c r="Y705" s="32"/>
      <c r="Z705" s="32"/>
    </row>
    <row r="706" spans="1:26" ht="13.5" customHeight="1">
      <c r="A706" s="32"/>
      <c r="B706" s="32"/>
      <c r="C706" s="32"/>
      <c r="D706" s="32"/>
      <c r="E706" s="32"/>
      <c r="F706" s="32"/>
      <c r="G706" s="32"/>
      <c r="H706" s="32"/>
      <c r="I706" s="32"/>
      <c r="J706" s="32"/>
      <c r="K706" s="32"/>
      <c r="L706" s="32"/>
      <c r="M706" s="32"/>
      <c r="N706" s="32"/>
      <c r="O706" s="32"/>
      <c r="P706" s="32"/>
      <c r="Q706" s="32"/>
      <c r="R706" s="32"/>
      <c r="S706" s="32"/>
      <c r="T706" s="32"/>
      <c r="U706" s="32"/>
      <c r="V706" s="32"/>
      <c r="W706" s="32"/>
      <c r="X706" s="32"/>
      <c r="Y706" s="32"/>
      <c r="Z706" s="32"/>
    </row>
    <row r="707" spans="1:26" ht="13.5" customHeight="1">
      <c r="A707" s="32"/>
      <c r="B707" s="32"/>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32"/>
    </row>
    <row r="708" spans="1:26" ht="13.5" customHeight="1">
      <c r="A708" s="32"/>
      <c r="B708" s="32"/>
      <c r="C708" s="32"/>
      <c r="D708" s="32"/>
      <c r="E708" s="32"/>
      <c r="F708" s="32"/>
      <c r="G708" s="32"/>
      <c r="H708" s="32"/>
      <c r="I708" s="32"/>
      <c r="J708" s="32"/>
      <c r="K708" s="32"/>
      <c r="L708" s="32"/>
      <c r="M708" s="32"/>
      <c r="N708" s="32"/>
      <c r="O708" s="32"/>
      <c r="P708" s="32"/>
      <c r="Q708" s="32"/>
      <c r="R708" s="32"/>
      <c r="S708" s="32"/>
      <c r="T708" s="32"/>
      <c r="U708" s="32"/>
      <c r="V708" s="32"/>
      <c r="W708" s="32"/>
      <c r="X708" s="32"/>
      <c r="Y708" s="32"/>
      <c r="Z708" s="32"/>
    </row>
    <row r="709" spans="1:26" ht="13.5" customHeight="1">
      <c r="A709" s="32"/>
      <c r="B709" s="32"/>
      <c r="C709" s="32"/>
      <c r="D709" s="32"/>
      <c r="E709" s="32"/>
      <c r="F709" s="32"/>
      <c r="G709" s="32"/>
      <c r="H709" s="32"/>
      <c r="I709" s="32"/>
      <c r="J709" s="32"/>
      <c r="K709" s="32"/>
      <c r="L709" s="32"/>
      <c r="M709" s="32"/>
      <c r="N709" s="32"/>
      <c r="O709" s="32"/>
      <c r="P709" s="32"/>
      <c r="Q709" s="32"/>
      <c r="R709" s="32"/>
      <c r="S709" s="32"/>
      <c r="T709" s="32"/>
      <c r="U709" s="32"/>
      <c r="V709" s="32"/>
      <c r="W709" s="32"/>
      <c r="X709" s="32"/>
      <c r="Y709" s="32"/>
      <c r="Z709" s="32"/>
    </row>
    <row r="710" spans="1:26" ht="13.5" customHeight="1">
      <c r="A710" s="32"/>
      <c r="B710" s="32"/>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32"/>
    </row>
    <row r="711" spans="1:26" ht="13.5" customHeight="1">
      <c r="A711" s="32"/>
      <c r="B711" s="32"/>
      <c r="C711" s="32"/>
      <c r="D711" s="32"/>
      <c r="E711" s="32"/>
      <c r="F711" s="32"/>
      <c r="G711" s="32"/>
      <c r="H711" s="32"/>
      <c r="I711" s="32"/>
      <c r="J711" s="32"/>
      <c r="K711" s="32"/>
      <c r="L711" s="32"/>
      <c r="M711" s="32"/>
      <c r="N711" s="32"/>
      <c r="O711" s="32"/>
      <c r="P711" s="32"/>
      <c r="Q711" s="32"/>
      <c r="R711" s="32"/>
      <c r="S711" s="32"/>
      <c r="T711" s="32"/>
      <c r="U711" s="32"/>
      <c r="V711" s="32"/>
      <c r="W711" s="32"/>
      <c r="X711" s="32"/>
      <c r="Y711" s="32"/>
      <c r="Z711" s="32"/>
    </row>
    <row r="712" spans="1:26" ht="13.5" customHeight="1">
      <c r="A712" s="32"/>
      <c r="B712" s="32"/>
      <c r="C712" s="32"/>
      <c r="D712" s="32"/>
      <c r="E712" s="32"/>
      <c r="F712" s="32"/>
      <c r="G712" s="32"/>
      <c r="H712" s="32"/>
      <c r="I712" s="32"/>
      <c r="J712" s="32"/>
      <c r="K712" s="32"/>
      <c r="L712" s="32"/>
      <c r="M712" s="32"/>
      <c r="N712" s="32"/>
      <c r="O712" s="32"/>
      <c r="P712" s="32"/>
      <c r="Q712" s="32"/>
      <c r="R712" s="32"/>
      <c r="S712" s="32"/>
      <c r="T712" s="32"/>
      <c r="U712" s="32"/>
      <c r="V712" s="32"/>
      <c r="W712" s="32"/>
      <c r="X712" s="32"/>
      <c r="Y712" s="32"/>
      <c r="Z712" s="32"/>
    </row>
    <row r="713" spans="1:26" ht="13.5" customHeight="1">
      <c r="A713" s="32"/>
      <c r="B713" s="32"/>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32"/>
    </row>
    <row r="714" spans="1:26" ht="13.5" customHeight="1">
      <c r="A714" s="32"/>
      <c r="B714" s="32"/>
      <c r="C714" s="32"/>
      <c r="D714" s="32"/>
      <c r="E714" s="32"/>
      <c r="F714" s="32"/>
      <c r="G714" s="32"/>
      <c r="H714" s="32"/>
      <c r="I714" s="32"/>
      <c r="J714" s="32"/>
      <c r="K714" s="32"/>
      <c r="L714" s="32"/>
      <c r="M714" s="32"/>
      <c r="N714" s="32"/>
      <c r="O714" s="32"/>
      <c r="P714" s="32"/>
      <c r="Q714" s="32"/>
      <c r="R714" s="32"/>
      <c r="S714" s="32"/>
      <c r="T714" s="32"/>
      <c r="U714" s="32"/>
      <c r="V714" s="32"/>
      <c r="W714" s="32"/>
      <c r="X714" s="32"/>
      <c r="Y714" s="32"/>
      <c r="Z714" s="32"/>
    </row>
    <row r="715" spans="1:26" ht="13.5" customHeight="1">
      <c r="A715" s="32"/>
      <c r="B715" s="32"/>
      <c r="C715" s="32"/>
      <c r="D715" s="32"/>
      <c r="E715" s="32"/>
      <c r="F715" s="32"/>
      <c r="G715" s="32"/>
      <c r="H715" s="32"/>
      <c r="I715" s="32"/>
      <c r="J715" s="32"/>
      <c r="K715" s="32"/>
      <c r="L715" s="32"/>
      <c r="M715" s="32"/>
      <c r="N715" s="32"/>
      <c r="O715" s="32"/>
      <c r="P715" s="32"/>
      <c r="Q715" s="32"/>
      <c r="R715" s="32"/>
      <c r="S715" s="32"/>
      <c r="T715" s="32"/>
      <c r="U715" s="32"/>
      <c r="V715" s="32"/>
      <c r="W715" s="32"/>
      <c r="X715" s="32"/>
      <c r="Y715" s="32"/>
      <c r="Z715" s="32"/>
    </row>
    <row r="716" spans="1:26" ht="13.5" customHeight="1">
      <c r="A716" s="32"/>
      <c r="B716" s="32"/>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32"/>
    </row>
    <row r="717" spans="1:26" ht="13.5" customHeight="1">
      <c r="A717" s="32"/>
      <c r="B717" s="32"/>
      <c r="C717" s="32"/>
      <c r="D717" s="32"/>
      <c r="E717" s="32"/>
      <c r="F717" s="32"/>
      <c r="G717" s="32"/>
      <c r="H717" s="32"/>
      <c r="I717" s="32"/>
      <c r="J717" s="32"/>
      <c r="K717" s="32"/>
      <c r="L717" s="32"/>
      <c r="M717" s="32"/>
      <c r="N717" s="32"/>
      <c r="O717" s="32"/>
      <c r="P717" s="32"/>
      <c r="Q717" s="32"/>
      <c r="R717" s="32"/>
      <c r="S717" s="32"/>
      <c r="T717" s="32"/>
      <c r="U717" s="32"/>
      <c r="V717" s="32"/>
      <c r="W717" s="32"/>
      <c r="X717" s="32"/>
      <c r="Y717" s="32"/>
      <c r="Z717" s="32"/>
    </row>
    <row r="718" spans="1:26" ht="13.5" customHeight="1">
      <c r="A718" s="32"/>
      <c r="B718" s="32"/>
      <c r="C718" s="32"/>
      <c r="D718" s="32"/>
      <c r="E718" s="32"/>
      <c r="F718" s="32"/>
      <c r="G718" s="32"/>
      <c r="H718" s="32"/>
      <c r="I718" s="32"/>
      <c r="J718" s="32"/>
      <c r="K718" s="32"/>
      <c r="L718" s="32"/>
      <c r="M718" s="32"/>
      <c r="N718" s="32"/>
      <c r="O718" s="32"/>
      <c r="P718" s="32"/>
      <c r="Q718" s="32"/>
      <c r="R718" s="32"/>
      <c r="S718" s="32"/>
      <c r="T718" s="32"/>
      <c r="U718" s="32"/>
      <c r="V718" s="32"/>
      <c r="W718" s="32"/>
      <c r="X718" s="32"/>
      <c r="Y718" s="32"/>
      <c r="Z718" s="32"/>
    </row>
    <row r="719" spans="1:26" ht="13.5" customHeight="1">
      <c r="A719" s="32"/>
      <c r="B719" s="32"/>
      <c r="C719" s="32"/>
      <c r="D719" s="32"/>
      <c r="E719" s="32"/>
      <c r="F719" s="32"/>
      <c r="G719" s="32"/>
      <c r="H719" s="32"/>
      <c r="I719" s="32"/>
      <c r="J719" s="32"/>
      <c r="K719" s="32"/>
      <c r="L719" s="32"/>
      <c r="M719" s="32"/>
      <c r="N719" s="32"/>
      <c r="O719" s="32"/>
      <c r="P719" s="32"/>
      <c r="Q719" s="32"/>
      <c r="R719" s="32"/>
      <c r="S719" s="32"/>
      <c r="T719" s="32"/>
      <c r="U719" s="32"/>
      <c r="V719" s="32"/>
      <c r="W719" s="32"/>
      <c r="X719" s="32"/>
      <c r="Y719" s="32"/>
      <c r="Z719" s="32"/>
    </row>
    <row r="720" spans="1:26" ht="13.5" customHeight="1">
      <c r="A720" s="32"/>
      <c r="B720" s="32"/>
      <c r="C720" s="32"/>
      <c r="D720" s="32"/>
      <c r="E720" s="32"/>
      <c r="F720" s="32"/>
      <c r="G720" s="32"/>
      <c r="H720" s="32"/>
      <c r="I720" s="32"/>
      <c r="J720" s="32"/>
      <c r="K720" s="32"/>
      <c r="L720" s="32"/>
      <c r="M720" s="32"/>
      <c r="N720" s="32"/>
      <c r="O720" s="32"/>
      <c r="P720" s="32"/>
      <c r="Q720" s="32"/>
      <c r="R720" s="32"/>
      <c r="S720" s="32"/>
      <c r="T720" s="32"/>
      <c r="U720" s="32"/>
      <c r="V720" s="32"/>
      <c r="W720" s="32"/>
      <c r="X720" s="32"/>
      <c r="Y720" s="32"/>
      <c r="Z720" s="32"/>
    </row>
    <row r="721" spans="1:26" ht="13.5" customHeight="1">
      <c r="A721" s="32"/>
      <c r="B721" s="32"/>
      <c r="C721" s="32"/>
      <c r="D721" s="32"/>
      <c r="E721" s="32"/>
      <c r="F721" s="32"/>
      <c r="G721" s="32"/>
      <c r="H721" s="32"/>
      <c r="I721" s="32"/>
      <c r="J721" s="32"/>
      <c r="K721" s="32"/>
      <c r="L721" s="32"/>
      <c r="M721" s="32"/>
      <c r="N721" s="32"/>
      <c r="O721" s="32"/>
      <c r="P721" s="32"/>
      <c r="Q721" s="32"/>
      <c r="R721" s="32"/>
      <c r="S721" s="32"/>
      <c r="T721" s="32"/>
      <c r="U721" s="32"/>
      <c r="V721" s="32"/>
      <c r="W721" s="32"/>
      <c r="X721" s="32"/>
      <c r="Y721" s="32"/>
      <c r="Z721" s="32"/>
    </row>
    <row r="722" spans="1:26" ht="13.5" customHeight="1">
      <c r="A722" s="32"/>
      <c r="B722" s="32"/>
      <c r="C722" s="32"/>
      <c r="D722" s="32"/>
      <c r="E722" s="32"/>
      <c r="F722" s="32"/>
      <c r="G722" s="32"/>
      <c r="H722" s="32"/>
      <c r="I722" s="32"/>
      <c r="J722" s="32"/>
      <c r="K722" s="32"/>
      <c r="L722" s="32"/>
      <c r="M722" s="32"/>
      <c r="N722" s="32"/>
      <c r="O722" s="32"/>
      <c r="P722" s="32"/>
      <c r="Q722" s="32"/>
      <c r="R722" s="32"/>
      <c r="S722" s="32"/>
      <c r="T722" s="32"/>
      <c r="U722" s="32"/>
      <c r="V722" s="32"/>
      <c r="W722" s="32"/>
      <c r="X722" s="32"/>
      <c r="Y722" s="32"/>
      <c r="Z722" s="32"/>
    </row>
    <row r="723" spans="1:26" ht="13.5" customHeight="1">
      <c r="A723" s="32"/>
      <c r="B723" s="32"/>
      <c r="C723" s="32"/>
      <c r="D723" s="32"/>
      <c r="E723" s="32"/>
      <c r="F723" s="32"/>
      <c r="G723" s="32"/>
      <c r="H723" s="32"/>
      <c r="I723" s="32"/>
      <c r="J723" s="32"/>
      <c r="K723" s="32"/>
      <c r="L723" s="32"/>
      <c r="M723" s="32"/>
      <c r="N723" s="32"/>
      <c r="O723" s="32"/>
      <c r="P723" s="32"/>
      <c r="Q723" s="32"/>
      <c r="R723" s="32"/>
      <c r="S723" s="32"/>
      <c r="T723" s="32"/>
      <c r="U723" s="32"/>
      <c r="V723" s="32"/>
      <c r="W723" s="32"/>
      <c r="X723" s="32"/>
      <c r="Y723" s="32"/>
      <c r="Z723" s="32"/>
    </row>
    <row r="724" spans="1:26" ht="13.5" customHeight="1">
      <c r="A724" s="32"/>
      <c r="B724" s="32"/>
      <c r="C724" s="32"/>
      <c r="D724" s="32"/>
      <c r="E724" s="32"/>
      <c r="F724" s="32"/>
      <c r="G724" s="32"/>
      <c r="H724" s="32"/>
      <c r="I724" s="32"/>
      <c r="J724" s="32"/>
      <c r="K724" s="32"/>
      <c r="L724" s="32"/>
      <c r="M724" s="32"/>
      <c r="N724" s="32"/>
      <c r="O724" s="32"/>
      <c r="P724" s="32"/>
      <c r="Q724" s="32"/>
      <c r="R724" s="32"/>
      <c r="S724" s="32"/>
      <c r="T724" s="32"/>
      <c r="U724" s="32"/>
      <c r="V724" s="32"/>
      <c r="W724" s="32"/>
      <c r="X724" s="32"/>
      <c r="Y724" s="32"/>
      <c r="Z724" s="32"/>
    </row>
    <row r="725" spans="1:26" ht="13.5" customHeight="1">
      <c r="A725" s="32"/>
      <c r="B725" s="32"/>
      <c r="C725" s="32"/>
      <c r="D725" s="32"/>
      <c r="E725" s="32"/>
      <c r="F725" s="32"/>
      <c r="G725" s="32"/>
      <c r="H725" s="32"/>
      <c r="I725" s="32"/>
      <c r="J725" s="32"/>
      <c r="K725" s="32"/>
      <c r="L725" s="32"/>
      <c r="M725" s="32"/>
      <c r="N725" s="32"/>
      <c r="O725" s="32"/>
      <c r="P725" s="32"/>
      <c r="Q725" s="32"/>
      <c r="R725" s="32"/>
      <c r="S725" s="32"/>
      <c r="T725" s="32"/>
      <c r="U725" s="32"/>
      <c r="V725" s="32"/>
      <c r="W725" s="32"/>
      <c r="X725" s="32"/>
      <c r="Y725" s="32"/>
      <c r="Z725" s="32"/>
    </row>
    <row r="726" spans="1:26" ht="13.5" customHeight="1">
      <c r="A726" s="32"/>
      <c r="B726" s="32"/>
      <c r="C726" s="32"/>
      <c r="D726" s="32"/>
      <c r="E726" s="32"/>
      <c r="F726" s="32"/>
      <c r="G726" s="32"/>
      <c r="H726" s="32"/>
      <c r="I726" s="32"/>
      <c r="J726" s="32"/>
      <c r="K726" s="32"/>
      <c r="L726" s="32"/>
      <c r="M726" s="32"/>
      <c r="N726" s="32"/>
      <c r="O726" s="32"/>
      <c r="P726" s="32"/>
      <c r="Q726" s="32"/>
      <c r="R726" s="32"/>
      <c r="S726" s="32"/>
      <c r="T726" s="32"/>
      <c r="U726" s="32"/>
      <c r="V726" s="32"/>
      <c r="W726" s="32"/>
      <c r="X726" s="32"/>
      <c r="Y726" s="32"/>
      <c r="Z726" s="32"/>
    </row>
    <row r="727" spans="1:26" ht="13.5" customHeight="1">
      <c r="A727" s="32"/>
      <c r="B727" s="32"/>
      <c r="C727" s="32"/>
      <c r="D727" s="32"/>
      <c r="E727" s="32"/>
      <c r="F727" s="32"/>
      <c r="G727" s="32"/>
      <c r="H727" s="32"/>
      <c r="I727" s="32"/>
      <c r="J727" s="32"/>
      <c r="K727" s="32"/>
      <c r="L727" s="32"/>
      <c r="M727" s="32"/>
      <c r="N727" s="32"/>
      <c r="O727" s="32"/>
      <c r="P727" s="32"/>
      <c r="Q727" s="32"/>
      <c r="R727" s="32"/>
      <c r="S727" s="32"/>
      <c r="T727" s="32"/>
      <c r="U727" s="32"/>
      <c r="V727" s="32"/>
      <c r="W727" s="32"/>
      <c r="X727" s="32"/>
      <c r="Y727" s="32"/>
      <c r="Z727" s="32"/>
    </row>
    <row r="728" spans="1:26" ht="13.5" customHeight="1">
      <c r="A728" s="32"/>
      <c r="B728" s="32"/>
      <c r="C728" s="32"/>
      <c r="D728" s="32"/>
      <c r="E728" s="32"/>
      <c r="F728" s="32"/>
      <c r="G728" s="32"/>
      <c r="H728" s="32"/>
      <c r="I728" s="32"/>
      <c r="J728" s="32"/>
      <c r="K728" s="32"/>
      <c r="L728" s="32"/>
      <c r="M728" s="32"/>
      <c r="N728" s="32"/>
      <c r="O728" s="32"/>
      <c r="P728" s="32"/>
      <c r="Q728" s="32"/>
      <c r="R728" s="32"/>
      <c r="S728" s="32"/>
      <c r="T728" s="32"/>
      <c r="U728" s="32"/>
      <c r="V728" s="32"/>
      <c r="W728" s="32"/>
      <c r="X728" s="32"/>
      <c r="Y728" s="32"/>
      <c r="Z728" s="32"/>
    </row>
    <row r="729" spans="1:26" ht="13.5" customHeight="1">
      <c r="A729" s="32"/>
      <c r="B729" s="32"/>
      <c r="C729" s="32"/>
      <c r="D729" s="32"/>
      <c r="E729" s="32"/>
      <c r="F729" s="32"/>
      <c r="G729" s="32"/>
      <c r="H729" s="32"/>
      <c r="I729" s="32"/>
      <c r="J729" s="32"/>
      <c r="K729" s="32"/>
      <c r="L729" s="32"/>
      <c r="M729" s="32"/>
      <c r="N729" s="32"/>
      <c r="O729" s="32"/>
      <c r="P729" s="32"/>
      <c r="Q729" s="32"/>
      <c r="R729" s="32"/>
      <c r="S729" s="32"/>
      <c r="T729" s="32"/>
      <c r="U729" s="32"/>
      <c r="V729" s="32"/>
      <c r="W729" s="32"/>
      <c r="X729" s="32"/>
      <c r="Y729" s="32"/>
      <c r="Z729" s="32"/>
    </row>
    <row r="730" spans="1:26" ht="13.5" customHeight="1">
      <c r="A730" s="32"/>
      <c r="B730" s="32"/>
      <c r="C730" s="32"/>
      <c r="D730" s="32"/>
      <c r="E730" s="32"/>
      <c r="F730" s="32"/>
      <c r="G730" s="32"/>
      <c r="H730" s="32"/>
      <c r="I730" s="32"/>
      <c r="J730" s="32"/>
      <c r="K730" s="32"/>
      <c r="L730" s="32"/>
      <c r="M730" s="32"/>
      <c r="N730" s="32"/>
      <c r="O730" s="32"/>
      <c r="P730" s="32"/>
      <c r="Q730" s="32"/>
      <c r="R730" s="32"/>
      <c r="S730" s="32"/>
      <c r="T730" s="32"/>
      <c r="U730" s="32"/>
      <c r="V730" s="32"/>
      <c r="W730" s="32"/>
      <c r="X730" s="32"/>
      <c r="Y730" s="32"/>
      <c r="Z730" s="32"/>
    </row>
    <row r="731" spans="1:26" ht="13.5" customHeight="1">
      <c r="A731" s="32"/>
      <c r="B731" s="32"/>
      <c r="C731" s="32"/>
      <c r="D731" s="32"/>
      <c r="E731" s="32"/>
      <c r="F731" s="32"/>
      <c r="G731" s="32"/>
      <c r="H731" s="32"/>
      <c r="I731" s="32"/>
      <c r="J731" s="32"/>
      <c r="K731" s="32"/>
      <c r="L731" s="32"/>
      <c r="M731" s="32"/>
      <c r="N731" s="32"/>
      <c r="O731" s="32"/>
      <c r="P731" s="32"/>
      <c r="Q731" s="32"/>
      <c r="R731" s="32"/>
      <c r="S731" s="32"/>
      <c r="T731" s="32"/>
      <c r="U731" s="32"/>
      <c r="V731" s="32"/>
      <c r="W731" s="32"/>
      <c r="X731" s="32"/>
      <c r="Y731" s="32"/>
      <c r="Z731" s="32"/>
    </row>
    <row r="732" spans="1:26" ht="13.5" customHeight="1">
      <c r="A732" s="32"/>
      <c r="B732" s="32"/>
      <c r="C732" s="32"/>
      <c r="D732" s="32"/>
      <c r="E732" s="32"/>
      <c r="F732" s="32"/>
      <c r="G732" s="32"/>
      <c r="H732" s="32"/>
      <c r="I732" s="32"/>
      <c r="J732" s="32"/>
      <c r="K732" s="32"/>
      <c r="L732" s="32"/>
      <c r="M732" s="32"/>
      <c r="N732" s="32"/>
      <c r="O732" s="32"/>
      <c r="P732" s="32"/>
      <c r="Q732" s="32"/>
      <c r="R732" s="32"/>
      <c r="S732" s="32"/>
      <c r="T732" s="32"/>
      <c r="U732" s="32"/>
      <c r="V732" s="32"/>
      <c r="W732" s="32"/>
      <c r="X732" s="32"/>
      <c r="Y732" s="32"/>
      <c r="Z732" s="32"/>
    </row>
    <row r="733" spans="1:26" ht="13.5" customHeight="1">
      <c r="A733" s="32"/>
      <c r="B733" s="32"/>
      <c r="C733" s="32"/>
      <c r="D733" s="32"/>
      <c r="E733" s="32"/>
      <c r="F733" s="32"/>
      <c r="G733" s="32"/>
      <c r="H733" s="32"/>
      <c r="I733" s="32"/>
      <c r="J733" s="32"/>
      <c r="K733" s="32"/>
      <c r="L733" s="32"/>
      <c r="M733" s="32"/>
      <c r="N733" s="32"/>
      <c r="O733" s="32"/>
      <c r="P733" s="32"/>
      <c r="Q733" s="32"/>
      <c r="R733" s="32"/>
      <c r="S733" s="32"/>
      <c r="T733" s="32"/>
      <c r="U733" s="32"/>
      <c r="V733" s="32"/>
      <c r="W733" s="32"/>
      <c r="X733" s="32"/>
      <c r="Y733" s="32"/>
      <c r="Z733" s="32"/>
    </row>
    <row r="734" spans="1:26" ht="13.5" customHeight="1">
      <c r="A734" s="32"/>
      <c r="B734" s="32"/>
      <c r="C734" s="32"/>
      <c r="D734" s="32"/>
      <c r="E734" s="32"/>
      <c r="F734" s="32"/>
      <c r="G734" s="32"/>
      <c r="H734" s="32"/>
      <c r="I734" s="32"/>
      <c r="J734" s="32"/>
      <c r="K734" s="32"/>
      <c r="L734" s="32"/>
      <c r="M734" s="32"/>
      <c r="N734" s="32"/>
      <c r="O734" s="32"/>
      <c r="P734" s="32"/>
      <c r="Q734" s="32"/>
      <c r="R734" s="32"/>
      <c r="S734" s="32"/>
      <c r="T734" s="32"/>
      <c r="U734" s="32"/>
      <c r="V734" s="32"/>
      <c r="W734" s="32"/>
      <c r="X734" s="32"/>
      <c r="Y734" s="32"/>
      <c r="Z734" s="32"/>
    </row>
    <row r="735" spans="1:26" ht="13.5" customHeight="1">
      <c r="A735" s="32"/>
      <c r="B735" s="32"/>
      <c r="C735" s="32"/>
      <c r="D735" s="32"/>
      <c r="E735" s="32"/>
      <c r="F735" s="32"/>
      <c r="G735" s="32"/>
      <c r="H735" s="32"/>
      <c r="I735" s="32"/>
      <c r="J735" s="32"/>
      <c r="K735" s="32"/>
      <c r="L735" s="32"/>
      <c r="M735" s="32"/>
      <c r="N735" s="32"/>
      <c r="O735" s="32"/>
      <c r="P735" s="32"/>
      <c r="Q735" s="32"/>
      <c r="R735" s="32"/>
      <c r="S735" s="32"/>
      <c r="T735" s="32"/>
      <c r="U735" s="32"/>
      <c r="V735" s="32"/>
      <c r="W735" s="32"/>
      <c r="X735" s="32"/>
      <c r="Y735" s="32"/>
      <c r="Z735" s="32"/>
    </row>
    <row r="736" spans="1:26" ht="13.5" customHeight="1">
      <c r="A736" s="32"/>
      <c r="B736" s="32"/>
      <c r="C736" s="32"/>
      <c r="D736" s="32"/>
      <c r="E736" s="32"/>
      <c r="F736" s="32"/>
      <c r="G736" s="32"/>
      <c r="H736" s="32"/>
      <c r="I736" s="32"/>
      <c r="J736" s="32"/>
      <c r="K736" s="32"/>
      <c r="L736" s="32"/>
      <c r="M736" s="32"/>
      <c r="N736" s="32"/>
      <c r="O736" s="32"/>
      <c r="P736" s="32"/>
      <c r="Q736" s="32"/>
      <c r="R736" s="32"/>
      <c r="S736" s="32"/>
      <c r="T736" s="32"/>
      <c r="U736" s="32"/>
      <c r="V736" s="32"/>
      <c r="W736" s="32"/>
      <c r="X736" s="32"/>
      <c r="Y736" s="32"/>
      <c r="Z736" s="32"/>
    </row>
    <row r="737" spans="1:26" ht="13.5" customHeight="1">
      <c r="A737" s="32"/>
      <c r="B737" s="32"/>
      <c r="C737" s="32"/>
      <c r="D737" s="32"/>
      <c r="E737" s="32"/>
      <c r="F737" s="32"/>
      <c r="G737" s="32"/>
      <c r="H737" s="32"/>
      <c r="I737" s="32"/>
      <c r="J737" s="32"/>
      <c r="K737" s="32"/>
      <c r="L737" s="32"/>
      <c r="M737" s="32"/>
      <c r="N737" s="32"/>
      <c r="O737" s="32"/>
      <c r="P737" s="32"/>
      <c r="Q737" s="32"/>
      <c r="R737" s="32"/>
      <c r="S737" s="32"/>
      <c r="T737" s="32"/>
      <c r="U737" s="32"/>
      <c r="V737" s="32"/>
      <c r="W737" s="32"/>
      <c r="X737" s="32"/>
      <c r="Y737" s="32"/>
      <c r="Z737" s="32"/>
    </row>
    <row r="738" spans="1:26" ht="13.5" customHeight="1">
      <c r="A738" s="32"/>
      <c r="B738" s="32"/>
      <c r="C738" s="32"/>
      <c r="D738" s="32"/>
      <c r="E738" s="32"/>
      <c r="F738" s="32"/>
      <c r="G738" s="32"/>
      <c r="H738" s="32"/>
      <c r="I738" s="32"/>
      <c r="J738" s="32"/>
      <c r="K738" s="32"/>
      <c r="L738" s="32"/>
      <c r="M738" s="32"/>
      <c r="N738" s="32"/>
      <c r="O738" s="32"/>
      <c r="P738" s="32"/>
      <c r="Q738" s="32"/>
      <c r="R738" s="32"/>
      <c r="S738" s="32"/>
      <c r="T738" s="32"/>
      <c r="U738" s="32"/>
      <c r="V738" s="32"/>
      <c r="W738" s="32"/>
      <c r="X738" s="32"/>
      <c r="Y738" s="32"/>
      <c r="Z738" s="32"/>
    </row>
    <row r="739" spans="1:26" ht="13.5" customHeight="1">
      <c r="A739" s="32"/>
      <c r="B739" s="32"/>
      <c r="C739" s="32"/>
      <c r="D739" s="32"/>
      <c r="E739" s="32"/>
      <c r="F739" s="32"/>
      <c r="G739" s="32"/>
      <c r="H739" s="32"/>
      <c r="I739" s="32"/>
      <c r="J739" s="32"/>
      <c r="K739" s="32"/>
      <c r="L739" s="32"/>
      <c r="M739" s="32"/>
      <c r="N739" s="32"/>
      <c r="O739" s="32"/>
      <c r="P739" s="32"/>
      <c r="Q739" s="32"/>
      <c r="R739" s="32"/>
      <c r="S739" s="32"/>
      <c r="T739" s="32"/>
      <c r="U739" s="32"/>
      <c r="V739" s="32"/>
      <c r="W739" s="32"/>
      <c r="X739" s="32"/>
      <c r="Y739" s="32"/>
      <c r="Z739" s="32"/>
    </row>
    <row r="740" spans="1:26" ht="13.5" customHeight="1">
      <c r="A740" s="32"/>
      <c r="B740" s="32"/>
      <c r="C740" s="32"/>
      <c r="D740" s="32"/>
      <c r="E740" s="32"/>
      <c r="F740" s="32"/>
      <c r="G740" s="32"/>
      <c r="H740" s="32"/>
      <c r="I740" s="32"/>
      <c r="J740" s="32"/>
      <c r="K740" s="32"/>
      <c r="L740" s="32"/>
      <c r="M740" s="32"/>
      <c r="N740" s="32"/>
      <c r="O740" s="32"/>
      <c r="P740" s="32"/>
      <c r="Q740" s="32"/>
      <c r="R740" s="32"/>
      <c r="S740" s="32"/>
      <c r="T740" s="32"/>
      <c r="U740" s="32"/>
      <c r="V740" s="32"/>
      <c r="W740" s="32"/>
      <c r="X740" s="32"/>
      <c r="Y740" s="32"/>
      <c r="Z740" s="32"/>
    </row>
    <row r="741" spans="1:26" ht="13.5" customHeight="1">
      <c r="A741" s="32"/>
      <c r="B741" s="32"/>
      <c r="C741" s="32"/>
      <c r="D741" s="32"/>
      <c r="E741" s="32"/>
      <c r="F741" s="32"/>
      <c r="G741" s="32"/>
      <c r="H741" s="32"/>
      <c r="I741" s="32"/>
      <c r="J741" s="32"/>
      <c r="K741" s="32"/>
      <c r="L741" s="32"/>
      <c r="M741" s="32"/>
      <c r="N741" s="32"/>
      <c r="O741" s="32"/>
      <c r="P741" s="32"/>
      <c r="Q741" s="32"/>
      <c r="R741" s="32"/>
      <c r="S741" s="32"/>
      <c r="T741" s="32"/>
      <c r="U741" s="32"/>
      <c r="V741" s="32"/>
      <c r="W741" s="32"/>
      <c r="X741" s="32"/>
      <c r="Y741" s="32"/>
      <c r="Z741" s="32"/>
    </row>
    <row r="742" spans="1:26" ht="13.5" customHeight="1">
      <c r="A742" s="32"/>
      <c r="B742" s="32"/>
      <c r="C742" s="32"/>
      <c r="D742" s="32"/>
      <c r="E742" s="32"/>
      <c r="F742" s="32"/>
      <c r="G742" s="32"/>
      <c r="H742" s="32"/>
      <c r="I742" s="32"/>
      <c r="J742" s="32"/>
      <c r="K742" s="32"/>
      <c r="L742" s="32"/>
      <c r="M742" s="32"/>
      <c r="N742" s="32"/>
      <c r="O742" s="32"/>
      <c r="P742" s="32"/>
      <c r="Q742" s="32"/>
      <c r="R742" s="32"/>
      <c r="S742" s="32"/>
      <c r="T742" s="32"/>
      <c r="U742" s="32"/>
      <c r="V742" s="32"/>
      <c r="W742" s="32"/>
      <c r="X742" s="32"/>
      <c r="Y742" s="32"/>
      <c r="Z742" s="32"/>
    </row>
    <row r="743" spans="1:26" ht="13.5" customHeight="1">
      <c r="A743" s="32"/>
      <c r="B743" s="32"/>
      <c r="C743" s="32"/>
      <c r="D743" s="32"/>
      <c r="E743" s="32"/>
      <c r="F743" s="32"/>
      <c r="G743" s="32"/>
      <c r="H743" s="32"/>
      <c r="I743" s="32"/>
      <c r="J743" s="32"/>
      <c r="K743" s="32"/>
      <c r="L743" s="32"/>
      <c r="M743" s="32"/>
      <c r="N743" s="32"/>
      <c r="O743" s="32"/>
      <c r="P743" s="32"/>
      <c r="Q743" s="32"/>
      <c r="R743" s="32"/>
      <c r="S743" s="32"/>
      <c r="T743" s="32"/>
      <c r="U743" s="32"/>
      <c r="V743" s="32"/>
      <c r="W743" s="32"/>
      <c r="X743" s="32"/>
      <c r="Y743" s="32"/>
      <c r="Z743" s="32"/>
    </row>
    <row r="744" spans="1:26" ht="13.5" customHeight="1">
      <c r="A744" s="32"/>
      <c r="B744" s="32"/>
      <c r="C744" s="32"/>
      <c r="D744" s="32"/>
      <c r="E744" s="32"/>
      <c r="F744" s="32"/>
      <c r="G744" s="32"/>
      <c r="H744" s="32"/>
      <c r="I744" s="32"/>
      <c r="J744" s="32"/>
      <c r="K744" s="32"/>
      <c r="L744" s="32"/>
      <c r="M744" s="32"/>
      <c r="N744" s="32"/>
      <c r="O744" s="32"/>
      <c r="P744" s="32"/>
      <c r="Q744" s="32"/>
      <c r="R744" s="32"/>
      <c r="S744" s="32"/>
      <c r="T744" s="32"/>
      <c r="U744" s="32"/>
      <c r="V744" s="32"/>
      <c r="W744" s="32"/>
      <c r="X744" s="32"/>
      <c r="Y744" s="32"/>
      <c r="Z744" s="32"/>
    </row>
    <row r="745" spans="1:26" ht="13.5" customHeight="1">
      <c r="A745" s="32"/>
      <c r="B745" s="32"/>
      <c r="C745" s="32"/>
      <c r="D745" s="32"/>
      <c r="E745" s="32"/>
      <c r="F745" s="32"/>
      <c r="G745" s="32"/>
      <c r="H745" s="32"/>
      <c r="I745" s="32"/>
      <c r="J745" s="32"/>
      <c r="K745" s="32"/>
      <c r="L745" s="32"/>
      <c r="M745" s="32"/>
      <c r="N745" s="32"/>
      <c r="O745" s="32"/>
      <c r="P745" s="32"/>
      <c r="Q745" s="32"/>
      <c r="R745" s="32"/>
      <c r="S745" s="32"/>
      <c r="T745" s="32"/>
      <c r="U745" s="32"/>
      <c r="V745" s="32"/>
      <c r="W745" s="32"/>
      <c r="X745" s="32"/>
      <c r="Y745" s="32"/>
      <c r="Z745" s="32"/>
    </row>
    <row r="746" spans="1:26" ht="13.5" customHeight="1">
      <c r="A746" s="32"/>
      <c r="B746" s="32"/>
      <c r="C746" s="32"/>
      <c r="D746" s="32"/>
      <c r="E746" s="32"/>
      <c r="F746" s="32"/>
      <c r="G746" s="32"/>
      <c r="H746" s="32"/>
      <c r="I746" s="32"/>
      <c r="J746" s="32"/>
      <c r="K746" s="32"/>
      <c r="L746" s="32"/>
      <c r="M746" s="32"/>
      <c r="N746" s="32"/>
      <c r="O746" s="32"/>
      <c r="P746" s="32"/>
      <c r="Q746" s="32"/>
      <c r="R746" s="32"/>
      <c r="S746" s="32"/>
      <c r="T746" s="32"/>
      <c r="U746" s="32"/>
      <c r="V746" s="32"/>
      <c r="W746" s="32"/>
      <c r="X746" s="32"/>
      <c r="Y746" s="32"/>
      <c r="Z746" s="32"/>
    </row>
    <row r="747" spans="1:26" ht="13.5" customHeight="1">
      <c r="A747" s="32"/>
      <c r="B747" s="32"/>
      <c r="C747" s="32"/>
      <c r="D747" s="32"/>
      <c r="E747" s="32"/>
      <c r="F747" s="32"/>
      <c r="G747" s="32"/>
      <c r="H747" s="32"/>
      <c r="I747" s="32"/>
      <c r="J747" s="32"/>
      <c r="K747" s="32"/>
      <c r="L747" s="32"/>
      <c r="M747" s="32"/>
      <c r="N747" s="32"/>
      <c r="O747" s="32"/>
      <c r="P747" s="32"/>
      <c r="Q747" s="32"/>
      <c r="R747" s="32"/>
      <c r="S747" s="32"/>
      <c r="T747" s="32"/>
      <c r="U747" s="32"/>
      <c r="V747" s="32"/>
      <c r="W747" s="32"/>
      <c r="X747" s="32"/>
      <c r="Y747" s="32"/>
      <c r="Z747" s="32"/>
    </row>
    <row r="748" spans="1:26" ht="13.5" customHeight="1">
      <c r="A748" s="32"/>
      <c r="B748" s="32"/>
      <c r="C748" s="32"/>
      <c r="D748" s="32"/>
      <c r="E748" s="32"/>
      <c r="F748" s="32"/>
      <c r="G748" s="32"/>
      <c r="H748" s="32"/>
      <c r="I748" s="32"/>
      <c r="J748" s="32"/>
      <c r="K748" s="32"/>
      <c r="L748" s="32"/>
      <c r="M748" s="32"/>
      <c r="N748" s="32"/>
      <c r="O748" s="32"/>
      <c r="P748" s="32"/>
      <c r="Q748" s="32"/>
      <c r="R748" s="32"/>
      <c r="S748" s="32"/>
      <c r="T748" s="32"/>
      <c r="U748" s="32"/>
      <c r="V748" s="32"/>
      <c r="W748" s="32"/>
      <c r="X748" s="32"/>
      <c r="Y748" s="32"/>
      <c r="Z748" s="32"/>
    </row>
    <row r="749" spans="1:26" ht="13.5" customHeight="1">
      <c r="A749" s="32"/>
      <c r="B749" s="32"/>
      <c r="C749" s="32"/>
      <c r="D749" s="32"/>
      <c r="E749" s="32"/>
      <c r="F749" s="32"/>
      <c r="G749" s="32"/>
      <c r="H749" s="32"/>
      <c r="I749" s="32"/>
      <c r="J749" s="32"/>
      <c r="K749" s="32"/>
      <c r="L749" s="32"/>
      <c r="M749" s="32"/>
      <c r="N749" s="32"/>
      <c r="O749" s="32"/>
      <c r="P749" s="32"/>
      <c r="Q749" s="32"/>
      <c r="R749" s="32"/>
      <c r="S749" s="32"/>
      <c r="T749" s="32"/>
      <c r="U749" s="32"/>
      <c r="V749" s="32"/>
      <c r="W749" s="32"/>
      <c r="X749" s="32"/>
      <c r="Y749" s="32"/>
      <c r="Z749" s="32"/>
    </row>
    <row r="750" spans="1:26" ht="13.5" customHeight="1">
      <c r="A750" s="32"/>
      <c r="B750" s="32"/>
      <c r="C750" s="32"/>
      <c r="D750" s="32"/>
      <c r="E750" s="32"/>
      <c r="F750" s="32"/>
      <c r="G750" s="32"/>
      <c r="H750" s="32"/>
      <c r="I750" s="32"/>
      <c r="J750" s="32"/>
      <c r="K750" s="32"/>
      <c r="L750" s="32"/>
      <c r="M750" s="32"/>
      <c r="N750" s="32"/>
      <c r="O750" s="32"/>
      <c r="P750" s="32"/>
      <c r="Q750" s="32"/>
      <c r="R750" s="32"/>
      <c r="S750" s="32"/>
      <c r="T750" s="32"/>
      <c r="U750" s="32"/>
      <c r="V750" s="32"/>
      <c r="W750" s="32"/>
      <c r="X750" s="32"/>
      <c r="Y750" s="32"/>
      <c r="Z750" s="32"/>
    </row>
    <row r="751" spans="1:26" ht="13.5" customHeight="1">
      <c r="A751" s="32"/>
      <c r="B751" s="32"/>
      <c r="C751" s="32"/>
      <c r="D751" s="32"/>
      <c r="E751" s="32"/>
      <c r="F751" s="32"/>
      <c r="G751" s="32"/>
      <c r="H751" s="32"/>
      <c r="I751" s="32"/>
      <c r="J751" s="32"/>
      <c r="K751" s="32"/>
      <c r="L751" s="32"/>
      <c r="M751" s="32"/>
      <c r="N751" s="32"/>
      <c r="O751" s="32"/>
      <c r="P751" s="32"/>
      <c r="Q751" s="32"/>
      <c r="R751" s="32"/>
      <c r="S751" s="32"/>
      <c r="T751" s="32"/>
      <c r="U751" s="32"/>
      <c r="V751" s="32"/>
      <c r="W751" s="32"/>
      <c r="X751" s="32"/>
      <c r="Y751" s="32"/>
      <c r="Z751" s="32"/>
    </row>
    <row r="752" spans="1:26" ht="13.5" customHeight="1">
      <c r="A752" s="32"/>
      <c r="B752" s="32"/>
      <c r="C752" s="32"/>
      <c r="D752" s="32"/>
      <c r="E752" s="32"/>
      <c r="F752" s="32"/>
      <c r="G752" s="32"/>
      <c r="H752" s="32"/>
      <c r="I752" s="32"/>
      <c r="J752" s="32"/>
      <c r="K752" s="32"/>
      <c r="L752" s="32"/>
      <c r="M752" s="32"/>
      <c r="N752" s="32"/>
      <c r="O752" s="32"/>
      <c r="P752" s="32"/>
      <c r="Q752" s="32"/>
      <c r="R752" s="32"/>
      <c r="S752" s="32"/>
      <c r="T752" s="32"/>
      <c r="U752" s="32"/>
      <c r="V752" s="32"/>
      <c r="W752" s="32"/>
      <c r="X752" s="32"/>
      <c r="Y752" s="32"/>
      <c r="Z752" s="32"/>
    </row>
    <row r="753" spans="1:26" ht="13.5" customHeight="1">
      <c r="A753" s="32"/>
      <c r="B753" s="32"/>
      <c r="C753" s="32"/>
      <c r="D753" s="32"/>
      <c r="E753" s="32"/>
      <c r="F753" s="32"/>
      <c r="G753" s="32"/>
      <c r="H753" s="32"/>
      <c r="I753" s="32"/>
      <c r="J753" s="32"/>
      <c r="K753" s="32"/>
      <c r="L753" s="32"/>
      <c r="M753" s="32"/>
      <c r="N753" s="32"/>
      <c r="O753" s="32"/>
      <c r="P753" s="32"/>
      <c r="Q753" s="32"/>
      <c r="R753" s="32"/>
      <c r="S753" s="32"/>
      <c r="T753" s="32"/>
      <c r="U753" s="32"/>
      <c r="V753" s="32"/>
      <c r="W753" s="32"/>
      <c r="X753" s="32"/>
      <c r="Y753" s="32"/>
      <c r="Z753" s="32"/>
    </row>
    <row r="754" spans="1:26" ht="13.5" customHeight="1">
      <c r="A754" s="32"/>
      <c r="B754" s="32"/>
      <c r="C754" s="32"/>
      <c r="D754" s="32"/>
      <c r="E754" s="32"/>
      <c r="F754" s="32"/>
      <c r="G754" s="32"/>
      <c r="H754" s="32"/>
      <c r="I754" s="32"/>
      <c r="J754" s="32"/>
      <c r="K754" s="32"/>
      <c r="L754" s="32"/>
      <c r="M754" s="32"/>
      <c r="N754" s="32"/>
      <c r="O754" s="32"/>
      <c r="P754" s="32"/>
      <c r="Q754" s="32"/>
      <c r="R754" s="32"/>
      <c r="S754" s="32"/>
      <c r="T754" s="32"/>
      <c r="U754" s="32"/>
      <c r="V754" s="32"/>
      <c r="W754" s="32"/>
      <c r="X754" s="32"/>
      <c r="Y754" s="32"/>
      <c r="Z754" s="32"/>
    </row>
    <row r="755" spans="1:26" ht="13.5" customHeight="1">
      <c r="A755" s="32"/>
      <c r="B755" s="32"/>
      <c r="C755" s="32"/>
      <c r="D755" s="32"/>
      <c r="E755" s="32"/>
      <c r="F755" s="32"/>
      <c r="G755" s="32"/>
      <c r="H755" s="32"/>
      <c r="I755" s="32"/>
      <c r="J755" s="32"/>
      <c r="K755" s="32"/>
      <c r="L755" s="32"/>
      <c r="M755" s="32"/>
      <c r="N755" s="32"/>
      <c r="O755" s="32"/>
      <c r="P755" s="32"/>
      <c r="Q755" s="32"/>
      <c r="R755" s="32"/>
      <c r="S755" s="32"/>
      <c r="T755" s="32"/>
      <c r="U755" s="32"/>
      <c r="V755" s="32"/>
      <c r="W755" s="32"/>
      <c r="X755" s="32"/>
      <c r="Y755" s="32"/>
      <c r="Z755" s="32"/>
    </row>
    <row r="756" spans="1:26" ht="13.5" customHeight="1">
      <c r="A756" s="32"/>
      <c r="B756" s="32"/>
      <c r="C756" s="32"/>
      <c r="D756" s="32"/>
      <c r="E756" s="32"/>
      <c r="F756" s="32"/>
      <c r="G756" s="32"/>
      <c r="H756" s="32"/>
      <c r="I756" s="32"/>
      <c r="J756" s="32"/>
      <c r="K756" s="32"/>
      <c r="L756" s="32"/>
      <c r="M756" s="32"/>
      <c r="N756" s="32"/>
      <c r="O756" s="32"/>
      <c r="P756" s="32"/>
      <c r="Q756" s="32"/>
      <c r="R756" s="32"/>
      <c r="S756" s="32"/>
      <c r="T756" s="32"/>
      <c r="U756" s="32"/>
      <c r="V756" s="32"/>
      <c r="W756" s="32"/>
      <c r="X756" s="32"/>
      <c r="Y756" s="32"/>
      <c r="Z756" s="32"/>
    </row>
    <row r="757" spans="1:26" ht="13.5" customHeight="1">
      <c r="A757" s="32"/>
      <c r="B757" s="32"/>
      <c r="C757" s="32"/>
      <c r="D757" s="32"/>
      <c r="E757" s="32"/>
      <c r="F757" s="32"/>
      <c r="G757" s="32"/>
      <c r="H757" s="32"/>
      <c r="I757" s="32"/>
      <c r="J757" s="32"/>
      <c r="K757" s="32"/>
      <c r="L757" s="32"/>
      <c r="M757" s="32"/>
      <c r="N757" s="32"/>
      <c r="O757" s="32"/>
      <c r="P757" s="32"/>
      <c r="Q757" s="32"/>
      <c r="R757" s="32"/>
      <c r="S757" s="32"/>
      <c r="T757" s="32"/>
      <c r="U757" s="32"/>
      <c r="V757" s="32"/>
      <c r="W757" s="32"/>
      <c r="X757" s="32"/>
      <c r="Y757" s="32"/>
      <c r="Z757" s="32"/>
    </row>
    <row r="758" spans="1:26" ht="13.5" customHeight="1">
      <c r="A758" s="32"/>
      <c r="B758" s="32"/>
      <c r="C758" s="32"/>
      <c r="D758" s="32"/>
      <c r="E758" s="32"/>
      <c r="F758" s="32"/>
      <c r="G758" s="32"/>
      <c r="H758" s="32"/>
      <c r="I758" s="32"/>
      <c r="J758" s="32"/>
      <c r="K758" s="32"/>
      <c r="L758" s="32"/>
      <c r="M758" s="32"/>
      <c r="N758" s="32"/>
      <c r="O758" s="32"/>
      <c r="P758" s="32"/>
      <c r="Q758" s="32"/>
      <c r="R758" s="32"/>
      <c r="S758" s="32"/>
      <c r="T758" s="32"/>
      <c r="U758" s="32"/>
      <c r="V758" s="32"/>
      <c r="W758" s="32"/>
      <c r="X758" s="32"/>
      <c r="Y758" s="32"/>
      <c r="Z758" s="32"/>
    </row>
    <row r="759" spans="1:26" ht="13.5" customHeight="1">
      <c r="A759" s="32"/>
      <c r="B759" s="32"/>
      <c r="C759" s="32"/>
      <c r="D759" s="32"/>
      <c r="E759" s="32"/>
      <c r="F759" s="32"/>
      <c r="G759" s="32"/>
      <c r="H759" s="32"/>
      <c r="I759" s="32"/>
      <c r="J759" s="32"/>
      <c r="K759" s="32"/>
      <c r="L759" s="32"/>
      <c r="M759" s="32"/>
      <c r="N759" s="32"/>
      <c r="O759" s="32"/>
      <c r="P759" s="32"/>
      <c r="Q759" s="32"/>
      <c r="R759" s="32"/>
      <c r="S759" s="32"/>
      <c r="T759" s="32"/>
      <c r="U759" s="32"/>
      <c r="V759" s="32"/>
      <c r="W759" s="32"/>
      <c r="X759" s="32"/>
      <c r="Y759" s="32"/>
      <c r="Z759" s="32"/>
    </row>
    <row r="760" spans="1:26" ht="13.5" customHeight="1">
      <c r="A760" s="32"/>
      <c r="B760" s="32"/>
      <c r="C760" s="32"/>
      <c r="D760" s="32"/>
      <c r="E760" s="32"/>
      <c r="F760" s="32"/>
      <c r="G760" s="32"/>
      <c r="H760" s="32"/>
      <c r="I760" s="32"/>
      <c r="J760" s="32"/>
      <c r="K760" s="32"/>
      <c r="L760" s="32"/>
      <c r="M760" s="32"/>
      <c r="N760" s="32"/>
      <c r="O760" s="32"/>
      <c r="P760" s="32"/>
      <c r="Q760" s="32"/>
      <c r="R760" s="32"/>
      <c r="S760" s="32"/>
      <c r="T760" s="32"/>
      <c r="U760" s="32"/>
      <c r="V760" s="32"/>
      <c r="W760" s="32"/>
      <c r="X760" s="32"/>
      <c r="Y760" s="32"/>
      <c r="Z760" s="32"/>
    </row>
    <row r="761" spans="1:26" ht="13.5" customHeight="1">
      <c r="A761" s="32"/>
      <c r="B761" s="32"/>
      <c r="C761" s="32"/>
      <c r="D761" s="32"/>
      <c r="E761" s="32"/>
      <c r="F761" s="32"/>
      <c r="G761" s="32"/>
      <c r="H761" s="32"/>
      <c r="I761" s="32"/>
      <c r="J761" s="32"/>
      <c r="K761" s="32"/>
      <c r="L761" s="32"/>
      <c r="M761" s="32"/>
      <c r="N761" s="32"/>
      <c r="O761" s="32"/>
      <c r="P761" s="32"/>
      <c r="Q761" s="32"/>
      <c r="R761" s="32"/>
      <c r="S761" s="32"/>
      <c r="T761" s="32"/>
      <c r="U761" s="32"/>
      <c r="V761" s="32"/>
      <c r="W761" s="32"/>
      <c r="X761" s="32"/>
      <c r="Y761" s="32"/>
      <c r="Z761" s="32"/>
    </row>
    <row r="762" spans="1:26" ht="13.5" customHeight="1">
      <c r="A762" s="32"/>
      <c r="B762" s="32"/>
      <c r="C762" s="32"/>
      <c r="D762" s="32"/>
      <c r="E762" s="32"/>
      <c r="F762" s="32"/>
      <c r="G762" s="32"/>
      <c r="H762" s="32"/>
      <c r="I762" s="32"/>
      <c r="J762" s="32"/>
      <c r="K762" s="32"/>
      <c r="L762" s="32"/>
      <c r="M762" s="32"/>
      <c r="N762" s="32"/>
      <c r="O762" s="32"/>
      <c r="P762" s="32"/>
      <c r="Q762" s="32"/>
      <c r="R762" s="32"/>
      <c r="S762" s="32"/>
      <c r="T762" s="32"/>
      <c r="U762" s="32"/>
      <c r="V762" s="32"/>
      <c r="W762" s="32"/>
      <c r="X762" s="32"/>
      <c r="Y762" s="32"/>
      <c r="Z762" s="32"/>
    </row>
    <row r="763" spans="1:26" ht="13.5" customHeight="1">
      <c r="A763" s="32"/>
      <c r="B763" s="32"/>
      <c r="C763" s="32"/>
      <c r="D763" s="32"/>
      <c r="E763" s="32"/>
      <c r="F763" s="32"/>
      <c r="G763" s="32"/>
      <c r="H763" s="32"/>
      <c r="I763" s="32"/>
      <c r="J763" s="32"/>
      <c r="K763" s="32"/>
      <c r="L763" s="32"/>
      <c r="M763" s="32"/>
      <c r="N763" s="32"/>
      <c r="O763" s="32"/>
      <c r="P763" s="32"/>
      <c r="Q763" s="32"/>
      <c r="R763" s="32"/>
      <c r="S763" s="32"/>
      <c r="T763" s="32"/>
      <c r="U763" s="32"/>
      <c r="V763" s="32"/>
      <c r="W763" s="32"/>
      <c r="X763" s="32"/>
      <c r="Y763" s="32"/>
      <c r="Z763" s="32"/>
    </row>
    <row r="764" spans="1:26" ht="13.5" customHeight="1">
      <c r="A764" s="32"/>
      <c r="B764" s="32"/>
      <c r="C764" s="32"/>
      <c r="D764" s="32"/>
      <c r="E764" s="32"/>
      <c r="F764" s="32"/>
      <c r="G764" s="32"/>
      <c r="H764" s="32"/>
      <c r="I764" s="32"/>
      <c r="J764" s="32"/>
      <c r="K764" s="32"/>
      <c r="L764" s="32"/>
      <c r="M764" s="32"/>
      <c r="N764" s="32"/>
      <c r="O764" s="32"/>
      <c r="P764" s="32"/>
      <c r="Q764" s="32"/>
      <c r="R764" s="32"/>
      <c r="S764" s="32"/>
      <c r="T764" s="32"/>
      <c r="U764" s="32"/>
      <c r="V764" s="32"/>
      <c r="W764" s="32"/>
      <c r="X764" s="32"/>
      <c r="Y764" s="32"/>
      <c r="Z764" s="32"/>
    </row>
    <row r="765" spans="1:26" ht="13.5" customHeight="1">
      <c r="A765" s="32"/>
      <c r="B765" s="32"/>
      <c r="C765" s="32"/>
      <c r="D765" s="32"/>
      <c r="E765" s="32"/>
      <c r="F765" s="32"/>
      <c r="G765" s="32"/>
      <c r="H765" s="32"/>
      <c r="I765" s="32"/>
      <c r="J765" s="32"/>
      <c r="K765" s="32"/>
      <c r="L765" s="32"/>
      <c r="M765" s="32"/>
      <c r="N765" s="32"/>
      <c r="O765" s="32"/>
      <c r="P765" s="32"/>
      <c r="Q765" s="32"/>
      <c r="R765" s="32"/>
      <c r="S765" s="32"/>
      <c r="T765" s="32"/>
      <c r="U765" s="32"/>
      <c r="V765" s="32"/>
      <c r="W765" s="32"/>
      <c r="X765" s="32"/>
      <c r="Y765" s="32"/>
      <c r="Z765" s="32"/>
    </row>
    <row r="766" spans="1:26" ht="13.5" customHeight="1">
      <c r="A766" s="32"/>
      <c r="B766" s="32"/>
      <c r="C766" s="32"/>
      <c r="D766" s="32"/>
      <c r="E766" s="32"/>
      <c r="F766" s="32"/>
      <c r="G766" s="32"/>
      <c r="H766" s="32"/>
      <c r="I766" s="32"/>
      <c r="J766" s="32"/>
      <c r="K766" s="32"/>
      <c r="L766" s="32"/>
      <c r="M766" s="32"/>
      <c r="N766" s="32"/>
      <c r="O766" s="32"/>
      <c r="P766" s="32"/>
      <c r="Q766" s="32"/>
      <c r="R766" s="32"/>
      <c r="S766" s="32"/>
      <c r="T766" s="32"/>
      <c r="U766" s="32"/>
      <c r="V766" s="32"/>
      <c r="W766" s="32"/>
      <c r="X766" s="32"/>
      <c r="Y766" s="32"/>
      <c r="Z766" s="32"/>
    </row>
    <row r="767" spans="1:26" ht="13.5" customHeight="1">
      <c r="A767" s="32"/>
      <c r="B767" s="32"/>
      <c r="C767" s="32"/>
      <c r="D767" s="32"/>
      <c r="E767" s="32"/>
      <c r="F767" s="32"/>
      <c r="G767" s="32"/>
      <c r="H767" s="32"/>
      <c r="I767" s="32"/>
      <c r="J767" s="32"/>
      <c r="K767" s="32"/>
      <c r="L767" s="32"/>
      <c r="M767" s="32"/>
      <c r="N767" s="32"/>
      <c r="O767" s="32"/>
      <c r="P767" s="32"/>
      <c r="Q767" s="32"/>
      <c r="R767" s="32"/>
      <c r="S767" s="32"/>
      <c r="T767" s="32"/>
      <c r="U767" s="32"/>
      <c r="V767" s="32"/>
      <c r="W767" s="32"/>
      <c r="X767" s="32"/>
      <c r="Y767" s="32"/>
      <c r="Z767" s="32"/>
    </row>
    <row r="768" spans="1:26" ht="13.5" customHeight="1">
      <c r="A768" s="32"/>
      <c r="B768" s="32"/>
      <c r="C768" s="32"/>
      <c r="D768" s="32"/>
      <c r="E768" s="32"/>
      <c r="F768" s="32"/>
      <c r="G768" s="32"/>
      <c r="H768" s="32"/>
      <c r="I768" s="32"/>
      <c r="J768" s="32"/>
      <c r="K768" s="32"/>
      <c r="L768" s="32"/>
      <c r="M768" s="32"/>
      <c r="N768" s="32"/>
      <c r="O768" s="32"/>
      <c r="P768" s="32"/>
      <c r="Q768" s="32"/>
      <c r="R768" s="32"/>
      <c r="S768" s="32"/>
      <c r="T768" s="32"/>
      <c r="U768" s="32"/>
      <c r="V768" s="32"/>
      <c r="W768" s="32"/>
      <c r="X768" s="32"/>
      <c r="Y768" s="32"/>
      <c r="Z768" s="32"/>
    </row>
    <row r="769" spans="1:26" ht="13.5" customHeight="1">
      <c r="A769" s="32"/>
      <c r="B769" s="32"/>
      <c r="C769" s="32"/>
      <c r="D769" s="32"/>
      <c r="E769" s="32"/>
      <c r="F769" s="32"/>
      <c r="G769" s="32"/>
      <c r="H769" s="32"/>
      <c r="I769" s="32"/>
      <c r="J769" s="32"/>
      <c r="K769" s="32"/>
      <c r="L769" s="32"/>
      <c r="M769" s="32"/>
      <c r="N769" s="32"/>
      <c r="O769" s="32"/>
      <c r="P769" s="32"/>
      <c r="Q769" s="32"/>
      <c r="R769" s="32"/>
      <c r="S769" s="32"/>
      <c r="T769" s="32"/>
      <c r="U769" s="32"/>
      <c r="V769" s="32"/>
      <c r="W769" s="32"/>
      <c r="X769" s="32"/>
      <c r="Y769" s="32"/>
      <c r="Z769" s="32"/>
    </row>
    <row r="770" spans="1:26" ht="13.5" customHeight="1">
      <c r="A770" s="32"/>
      <c r="B770" s="32"/>
      <c r="C770" s="32"/>
      <c r="D770" s="32"/>
      <c r="E770" s="32"/>
      <c r="F770" s="32"/>
      <c r="G770" s="32"/>
      <c r="H770" s="32"/>
      <c r="I770" s="32"/>
      <c r="J770" s="32"/>
      <c r="K770" s="32"/>
      <c r="L770" s="32"/>
      <c r="M770" s="32"/>
      <c r="N770" s="32"/>
      <c r="O770" s="32"/>
      <c r="P770" s="32"/>
      <c r="Q770" s="32"/>
      <c r="R770" s="32"/>
      <c r="S770" s="32"/>
      <c r="T770" s="32"/>
      <c r="U770" s="32"/>
      <c r="V770" s="32"/>
      <c r="W770" s="32"/>
      <c r="X770" s="32"/>
      <c r="Y770" s="32"/>
      <c r="Z770" s="32"/>
    </row>
    <row r="771" spans="1:26" ht="13.5" customHeight="1">
      <c r="A771" s="32"/>
      <c r="B771" s="32"/>
      <c r="C771" s="32"/>
      <c r="D771" s="32"/>
      <c r="E771" s="32"/>
      <c r="F771" s="32"/>
      <c r="G771" s="32"/>
      <c r="H771" s="32"/>
      <c r="I771" s="32"/>
      <c r="J771" s="32"/>
      <c r="K771" s="32"/>
      <c r="L771" s="32"/>
      <c r="M771" s="32"/>
      <c r="N771" s="32"/>
      <c r="O771" s="32"/>
      <c r="P771" s="32"/>
      <c r="Q771" s="32"/>
      <c r="R771" s="32"/>
      <c r="S771" s="32"/>
      <c r="T771" s="32"/>
      <c r="U771" s="32"/>
      <c r="V771" s="32"/>
      <c r="W771" s="32"/>
      <c r="X771" s="32"/>
      <c r="Y771" s="32"/>
      <c r="Z771" s="32"/>
    </row>
    <row r="772" spans="1:26" ht="13.5" customHeight="1">
      <c r="A772" s="32"/>
      <c r="B772" s="32"/>
      <c r="C772" s="32"/>
      <c r="D772" s="32"/>
      <c r="E772" s="32"/>
      <c r="F772" s="32"/>
      <c r="G772" s="32"/>
      <c r="H772" s="32"/>
      <c r="I772" s="32"/>
      <c r="J772" s="32"/>
      <c r="K772" s="32"/>
      <c r="L772" s="32"/>
      <c r="M772" s="32"/>
      <c r="N772" s="32"/>
      <c r="O772" s="32"/>
      <c r="P772" s="32"/>
      <c r="Q772" s="32"/>
      <c r="R772" s="32"/>
      <c r="S772" s="32"/>
      <c r="T772" s="32"/>
      <c r="U772" s="32"/>
      <c r="V772" s="32"/>
      <c r="W772" s="32"/>
      <c r="X772" s="32"/>
      <c r="Y772" s="32"/>
      <c r="Z772" s="32"/>
    </row>
    <row r="773" spans="1:26" ht="13.5" customHeight="1">
      <c r="A773" s="32"/>
      <c r="B773" s="32"/>
      <c r="C773" s="32"/>
      <c r="D773" s="32"/>
      <c r="E773" s="32"/>
      <c r="F773" s="32"/>
      <c r="G773" s="32"/>
      <c r="H773" s="32"/>
      <c r="I773" s="32"/>
      <c r="J773" s="32"/>
      <c r="K773" s="32"/>
      <c r="L773" s="32"/>
      <c r="M773" s="32"/>
      <c r="N773" s="32"/>
      <c r="O773" s="32"/>
      <c r="P773" s="32"/>
      <c r="Q773" s="32"/>
      <c r="R773" s="32"/>
      <c r="S773" s="32"/>
      <c r="T773" s="32"/>
      <c r="U773" s="32"/>
      <c r="V773" s="32"/>
      <c r="W773" s="32"/>
      <c r="X773" s="32"/>
      <c r="Y773" s="32"/>
      <c r="Z773" s="32"/>
    </row>
    <row r="774" spans="1:26" ht="13.5" customHeight="1">
      <c r="A774" s="32"/>
      <c r="B774" s="32"/>
      <c r="C774" s="32"/>
      <c r="D774" s="32"/>
      <c r="E774" s="32"/>
      <c r="F774" s="32"/>
      <c r="G774" s="32"/>
      <c r="H774" s="32"/>
      <c r="I774" s="32"/>
      <c r="J774" s="32"/>
      <c r="K774" s="32"/>
      <c r="L774" s="32"/>
      <c r="M774" s="32"/>
      <c r="N774" s="32"/>
      <c r="O774" s="32"/>
      <c r="P774" s="32"/>
      <c r="Q774" s="32"/>
      <c r="R774" s="32"/>
      <c r="S774" s="32"/>
      <c r="T774" s="32"/>
      <c r="U774" s="32"/>
      <c r="V774" s="32"/>
      <c r="W774" s="32"/>
      <c r="X774" s="32"/>
      <c r="Y774" s="32"/>
      <c r="Z774" s="32"/>
    </row>
    <row r="775" spans="1:26" ht="13.5" customHeight="1">
      <c r="A775" s="32"/>
      <c r="B775" s="32"/>
      <c r="C775" s="32"/>
      <c r="D775" s="32"/>
      <c r="E775" s="32"/>
      <c r="F775" s="32"/>
      <c r="G775" s="32"/>
      <c r="H775" s="32"/>
      <c r="I775" s="32"/>
      <c r="J775" s="32"/>
      <c r="K775" s="32"/>
      <c r="L775" s="32"/>
      <c r="M775" s="32"/>
      <c r="N775" s="32"/>
      <c r="O775" s="32"/>
      <c r="P775" s="32"/>
      <c r="Q775" s="32"/>
      <c r="R775" s="32"/>
      <c r="S775" s="32"/>
      <c r="T775" s="32"/>
      <c r="U775" s="32"/>
      <c r="V775" s="32"/>
      <c r="W775" s="32"/>
      <c r="X775" s="32"/>
      <c r="Y775" s="32"/>
      <c r="Z775" s="32"/>
    </row>
    <row r="776" spans="1:26" ht="13.5" customHeight="1">
      <c r="A776" s="32"/>
      <c r="B776" s="32"/>
      <c r="C776" s="32"/>
      <c r="D776" s="32"/>
      <c r="E776" s="32"/>
      <c r="F776" s="32"/>
      <c r="G776" s="32"/>
      <c r="H776" s="32"/>
      <c r="I776" s="32"/>
      <c r="J776" s="32"/>
      <c r="K776" s="32"/>
      <c r="L776" s="32"/>
      <c r="M776" s="32"/>
      <c r="N776" s="32"/>
      <c r="O776" s="32"/>
      <c r="P776" s="32"/>
      <c r="Q776" s="32"/>
      <c r="R776" s="32"/>
      <c r="S776" s="32"/>
      <c r="T776" s="32"/>
      <c r="U776" s="32"/>
      <c r="V776" s="32"/>
      <c r="W776" s="32"/>
      <c r="X776" s="32"/>
      <c r="Y776" s="32"/>
      <c r="Z776" s="32"/>
    </row>
    <row r="777" spans="1:26" ht="13.5" customHeight="1">
      <c r="A777" s="32"/>
      <c r="B777" s="32"/>
      <c r="C777" s="32"/>
      <c r="D777" s="32"/>
      <c r="E777" s="32"/>
      <c r="F777" s="32"/>
      <c r="G777" s="32"/>
      <c r="H777" s="32"/>
      <c r="I777" s="32"/>
      <c r="J777" s="32"/>
      <c r="K777" s="32"/>
      <c r="L777" s="32"/>
      <c r="M777" s="32"/>
      <c r="N777" s="32"/>
      <c r="O777" s="32"/>
      <c r="P777" s="32"/>
      <c r="Q777" s="32"/>
      <c r="R777" s="32"/>
      <c r="S777" s="32"/>
      <c r="T777" s="32"/>
      <c r="U777" s="32"/>
      <c r="V777" s="32"/>
      <c r="W777" s="32"/>
      <c r="X777" s="32"/>
      <c r="Y777" s="32"/>
      <c r="Z777" s="32"/>
    </row>
    <row r="778" spans="1:26" ht="13.5" customHeight="1">
      <c r="A778" s="32"/>
      <c r="B778" s="32"/>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row>
    <row r="779" spans="1:26" ht="13.5" customHeight="1">
      <c r="A779" s="32"/>
      <c r="B779" s="32"/>
      <c r="C779" s="32"/>
      <c r="D779" s="32"/>
      <c r="E779" s="32"/>
      <c r="F779" s="32"/>
      <c r="G779" s="32"/>
      <c r="H779" s="32"/>
      <c r="I779" s="32"/>
      <c r="J779" s="32"/>
      <c r="K779" s="32"/>
      <c r="L779" s="32"/>
      <c r="M779" s="32"/>
      <c r="N779" s="32"/>
      <c r="O779" s="32"/>
      <c r="P779" s="32"/>
      <c r="Q779" s="32"/>
      <c r="R779" s="32"/>
      <c r="S779" s="32"/>
      <c r="T779" s="32"/>
      <c r="U779" s="32"/>
      <c r="V779" s="32"/>
      <c r="W779" s="32"/>
      <c r="X779" s="32"/>
      <c r="Y779" s="32"/>
      <c r="Z779" s="32"/>
    </row>
    <row r="780" spans="1:26" ht="13.5" customHeight="1">
      <c r="A780" s="32"/>
      <c r="B780" s="32"/>
      <c r="C780" s="32"/>
      <c r="D780" s="32"/>
      <c r="E780" s="32"/>
      <c r="F780" s="32"/>
      <c r="G780" s="32"/>
      <c r="H780" s="32"/>
      <c r="I780" s="32"/>
      <c r="J780" s="32"/>
      <c r="K780" s="32"/>
      <c r="L780" s="32"/>
      <c r="M780" s="32"/>
      <c r="N780" s="32"/>
      <c r="O780" s="32"/>
      <c r="P780" s="32"/>
      <c r="Q780" s="32"/>
      <c r="R780" s="32"/>
      <c r="S780" s="32"/>
      <c r="T780" s="32"/>
      <c r="U780" s="32"/>
      <c r="V780" s="32"/>
      <c r="W780" s="32"/>
      <c r="X780" s="32"/>
      <c r="Y780" s="32"/>
      <c r="Z780" s="32"/>
    </row>
    <row r="781" spans="1:26" ht="13.5" customHeight="1">
      <c r="A781" s="32"/>
      <c r="B781" s="32"/>
      <c r="C781" s="32"/>
      <c r="D781" s="32"/>
      <c r="E781" s="32"/>
      <c r="F781" s="32"/>
      <c r="G781" s="32"/>
      <c r="H781" s="32"/>
      <c r="I781" s="32"/>
      <c r="J781" s="32"/>
      <c r="K781" s="32"/>
      <c r="L781" s="32"/>
      <c r="M781" s="32"/>
      <c r="N781" s="32"/>
      <c r="O781" s="32"/>
      <c r="P781" s="32"/>
      <c r="Q781" s="32"/>
      <c r="R781" s="32"/>
      <c r="S781" s="32"/>
      <c r="T781" s="32"/>
      <c r="U781" s="32"/>
      <c r="V781" s="32"/>
      <c r="W781" s="32"/>
      <c r="X781" s="32"/>
      <c r="Y781" s="32"/>
      <c r="Z781" s="32"/>
    </row>
    <row r="782" spans="1:26" ht="13.5" customHeight="1">
      <c r="A782" s="32"/>
      <c r="B782" s="32"/>
      <c r="C782" s="32"/>
      <c r="D782" s="32"/>
      <c r="E782" s="32"/>
      <c r="F782" s="32"/>
      <c r="G782" s="32"/>
      <c r="H782" s="32"/>
      <c r="I782" s="32"/>
      <c r="J782" s="32"/>
      <c r="K782" s="32"/>
      <c r="L782" s="32"/>
      <c r="M782" s="32"/>
      <c r="N782" s="32"/>
      <c r="O782" s="32"/>
      <c r="P782" s="32"/>
      <c r="Q782" s="32"/>
      <c r="R782" s="32"/>
      <c r="S782" s="32"/>
      <c r="T782" s="32"/>
      <c r="U782" s="32"/>
      <c r="V782" s="32"/>
      <c r="W782" s="32"/>
      <c r="X782" s="32"/>
      <c r="Y782" s="32"/>
      <c r="Z782" s="32"/>
    </row>
    <row r="783" spans="1:26" ht="13.5" customHeight="1">
      <c r="A783" s="32"/>
      <c r="B783" s="32"/>
      <c r="C783" s="32"/>
      <c r="D783" s="32"/>
      <c r="E783" s="32"/>
      <c r="F783" s="32"/>
      <c r="G783" s="32"/>
      <c r="H783" s="32"/>
      <c r="I783" s="32"/>
      <c r="J783" s="32"/>
      <c r="K783" s="32"/>
      <c r="L783" s="32"/>
      <c r="M783" s="32"/>
      <c r="N783" s="32"/>
      <c r="O783" s="32"/>
      <c r="P783" s="32"/>
      <c r="Q783" s="32"/>
      <c r="R783" s="32"/>
      <c r="S783" s="32"/>
      <c r="T783" s="32"/>
      <c r="U783" s="32"/>
      <c r="V783" s="32"/>
      <c r="W783" s="32"/>
      <c r="X783" s="32"/>
      <c r="Y783" s="32"/>
      <c r="Z783" s="32"/>
    </row>
    <row r="784" spans="1:26" ht="13.5" customHeight="1">
      <c r="A784" s="32"/>
      <c r="B784" s="32"/>
      <c r="C784" s="32"/>
      <c r="D784" s="32"/>
      <c r="E784" s="32"/>
      <c r="F784" s="32"/>
      <c r="G784" s="32"/>
      <c r="H784" s="32"/>
      <c r="I784" s="32"/>
      <c r="J784" s="32"/>
      <c r="K784" s="32"/>
      <c r="L784" s="32"/>
      <c r="M784" s="32"/>
      <c r="N784" s="32"/>
      <c r="O784" s="32"/>
      <c r="P784" s="32"/>
      <c r="Q784" s="32"/>
      <c r="R784" s="32"/>
      <c r="S784" s="32"/>
      <c r="T784" s="32"/>
      <c r="U784" s="32"/>
      <c r="V784" s="32"/>
      <c r="W784" s="32"/>
      <c r="X784" s="32"/>
      <c r="Y784" s="32"/>
      <c r="Z784" s="32"/>
    </row>
    <row r="785" spans="1:26" ht="13.5" customHeight="1">
      <c r="A785" s="32"/>
      <c r="B785" s="32"/>
      <c r="C785" s="32"/>
      <c r="D785" s="32"/>
      <c r="E785" s="32"/>
      <c r="F785" s="32"/>
      <c r="G785" s="32"/>
      <c r="H785" s="32"/>
      <c r="I785" s="32"/>
      <c r="J785" s="32"/>
      <c r="K785" s="32"/>
      <c r="L785" s="32"/>
      <c r="M785" s="32"/>
      <c r="N785" s="32"/>
      <c r="O785" s="32"/>
      <c r="P785" s="32"/>
      <c r="Q785" s="32"/>
      <c r="R785" s="32"/>
      <c r="S785" s="32"/>
      <c r="T785" s="32"/>
      <c r="U785" s="32"/>
      <c r="V785" s="32"/>
      <c r="W785" s="32"/>
      <c r="X785" s="32"/>
      <c r="Y785" s="32"/>
      <c r="Z785" s="32"/>
    </row>
    <row r="786" spans="1:26" ht="13.5" customHeight="1">
      <c r="A786" s="32"/>
      <c r="B786" s="32"/>
      <c r="C786" s="32"/>
      <c r="D786" s="32"/>
      <c r="E786" s="32"/>
      <c r="F786" s="32"/>
      <c r="G786" s="32"/>
      <c r="H786" s="32"/>
      <c r="I786" s="32"/>
      <c r="J786" s="32"/>
      <c r="K786" s="32"/>
      <c r="L786" s="32"/>
      <c r="M786" s="32"/>
      <c r="N786" s="32"/>
      <c r="O786" s="32"/>
      <c r="P786" s="32"/>
      <c r="Q786" s="32"/>
      <c r="R786" s="32"/>
      <c r="S786" s="32"/>
      <c r="T786" s="32"/>
      <c r="U786" s="32"/>
      <c r="V786" s="32"/>
      <c r="W786" s="32"/>
      <c r="X786" s="32"/>
      <c r="Y786" s="32"/>
      <c r="Z786" s="32"/>
    </row>
    <row r="787" spans="1:26" ht="13.5" customHeight="1">
      <c r="A787" s="32"/>
      <c r="B787" s="32"/>
      <c r="C787" s="32"/>
      <c r="D787" s="32"/>
      <c r="E787" s="32"/>
      <c r="F787" s="32"/>
      <c r="G787" s="32"/>
      <c r="H787" s="32"/>
      <c r="I787" s="32"/>
      <c r="J787" s="32"/>
      <c r="K787" s="32"/>
      <c r="L787" s="32"/>
      <c r="M787" s="32"/>
      <c r="N787" s="32"/>
      <c r="O787" s="32"/>
      <c r="P787" s="32"/>
      <c r="Q787" s="32"/>
      <c r="R787" s="32"/>
      <c r="S787" s="32"/>
      <c r="T787" s="32"/>
      <c r="U787" s="32"/>
      <c r="V787" s="32"/>
      <c r="W787" s="32"/>
      <c r="X787" s="32"/>
      <c r="Y787" s="32"/>
      <c r="Z787" s="32"/>
    </row>
    <row r="788" spans="1:26" ht="13.5" customHeight="1">
      <c r="A788" s="32"/>
      <c r="B788" s="32"/>
      <c r="C788" s="32"/>
      <c r="D788" s="32"/>
      <c r="E788" s="32"/>
      <c r="F788" s="32"/>
      <c r="G788" s="32"/>
      <c r="H788" s="32"/>
      <c r="I788" s="32"/>
      <c r="J788" s="32"/>
      <c r="K788" s="32"/>
      <c r="L788" s="32"/>
      <c r="M788" s="32"/>
      <c r="N788" s="32"/>
      <c r="O788" s="32"/>
      <c r="P788" s="32"/>
      <c r="Q788" s="32"/>
      <c r="R788" s="32"/>
      <c r="S788" s="32"/>
      <c r="T788" s="32"/>
      <c r="U788" s="32"/>
      <c r="V788" s="32"/>
      <c r="W788" s="32"/>
      <c r="X788" s="32"/>
      <c r="Y788" s="32"/>
      <c r="Z788" s="32"/>
    </row>
    <row r="789" spans="1:26" ht="13.5" customHeight="1">
      <c r="A789" s="32"/>
      <c r="B789" s="32"/>
      <c r="C789" s="32"/>
      <c r="D789" s="32"/>
      <c r="E789" s="32"/>
      <c r="F789" s="32"/>
      <c r="G789" s="32"/>
      <c r="H789" s="32"/>
      <c r="I789" s="32"/>
      <c r="J789" s="32"/>
      <c r="K789" s="32"/>
      <c r="L789" s="32"/>
      <c r="M789" s="32"/>
      <c r="N789" s="32"/>
      <c r="O789" s="32"/>
      <c r="P789" s="32"/>
      <c r="Q789" s="32"/>
      <c r="R789" s="32"/>
      <c r="S789" s="32"/>
      <c r="T789" s="32"/>
      <c r="U789" s="32"/>
      <c r="V789" s="32"/>
      <c r="W789" s="32"/>
      <c r="X789" s="32"/>
      <c r="Y789" s="32"/>
      <c r="Z789" s="32"/>
    </row>
    <row r="790" spans="1:26" ht="13.5" customHeight="1">
      <c r="A790" s="32"/>
      <c r="B790" s="32"/>
      <c r="C790" s="32"/>
      <c r="D790" s="32"/>
      <c r="E790" s="32"/>
      <c r="F790" s="32"/>
      <c r="G790" s="32"/>
      <c r="H790" s="32"/>
      <c r="I790" s="32"/>
      <c r="J790" s="32"/>
      <c r="K790" s="32"/>
      <c r="L790" s="32"/>
      <c r="M790" s="32"/>
      <c r="N790" s="32"/>
      <c r="O790" s="32"/>
      <c r="P790" s="32"/>
      <c r="Q790" s="32"/>
      <c r="R790" s="32"/>
      <c r="S790" s="32"/>
      <c r="T790" s="32"/>
      <c r="U790" s="32"/>
      <c r="V790" s="32"/>
      <c r="W790" s="32"/>
      <c r="X790" s="32"/>
      <c r="Y790" s="32"/>
      <c r="Z790" s="32"/>
    </row>
    <row r="791" spans="1:26" ht="13.5" customHeight="1">
      <c r="A791" s="32"/>
      <c r="B791" s="32"/>
      <c r="C791" s="32"/>
      <c r="D791" s="32"/>
      <c r="E791" s="32"/>
      <c r="F791" s="32"/>
      <c r="G791" s="32"/>
      <c r="H791" s="32"/>
      <c r="I791" s="32"/>
      <c r="J791" s="32"/>
      <c r="K791" s="32"/>
      <c r="L791" s="32"/>
      <c r="M791" s="32"/>
      <c r="N791" s="32"/>
      <c r="O791" s="32"/>
      <c r="P791" s="32"/>
      <c r="Q791" s="32"/>
      <c r="R791" s="32"/>
      <c r="S791" s="32"/>
      <c r="T791" s="32"/>
      <c r="U791" s="32"/>
      <c r="V791" s="32"/>
      <c r="W791" s="32"/>
      <c r="X791" s="32"/>
      <c r="Y791" s="32"/>
      <c r="Z791" s="32"/>
    </row>
    <row r="792" spans="1:26" ht="13.5" customHeight="1">
      <c r="A792" s="32"/>
      <c r="B792" s="32"/>
      <c r="C792" s="32"/>
      <c r="D792" s="32"/>
      <c r="E792" s="32"/>
      <c r="F792" s="32"/>
      <c r="G792" s="32"/>
      <c r="H792" s="32"/>
      <c r="I792" s="32"/>
      <c r="J792" s="32"/>
      <c r="K792" s="32"/>
      <c r="L792" s="32"/>
      <c r="M792" s="32"/>
      <c r="N792" s="32"/>
      <c r="O792" s="32"/>
      <c r="P792" s="32"/>
      <c r="Q792" s="32"/>
      <c r="R792" s="32"/>
      <c r="S792" s="32"/>
      <c r="T792" s="32"/>
      <c r="U792" s="32"/>
      <c r="V792" s="32"/>
      <c r="W792" s="32"/>
      <c r="X792" s="32"/>
      <c r="Y792" s="32"/>
      <c r="Z792" s="32"/>
    </row>
    <row r="793" spans="1:26" ht="13.5" customHeight="1">
      <c r="A793" s="32"/>
      <c r="B793" s="32"/>
      <c r="C793" s="32"/>
      <c r="D793" s="32"/>
      <c r="E793" s="32"/>
      <c r="F793" s="32"/>
      <c r="G793" s="32"/>
      <c r="H793" s="32"/>
      <c r="I793" s="32"/>
      <c r="J793" s="32"/>
      <c r="K793" s="32"/>
      <c r="L793" s="32"/>
      <c r="M793" s="32"/>
      <c r="N793" s="32"/>
      <c r="O793" s="32"/>
      <c r="P793" s="32"/>
      <c r="Q793" s="32"/>
      <c r="R793" s="32"/>
      <c r="S793" s="32"/>
      <c r="T793" s="32"/>
      <c r="U793" s="32"/>
      <c r="V793" s="32"/>
      <c r="W793" s="32"/>
      <c r="X793" s="32"/>
      <c r="Y793" s="32"/>
      <c r="Z793" s="32"/>
    </row>
    <row r="794" spans="1:26" ht="13.5" customHeight="1">
      <c r="A794" s="32"/>
      <c r="B794" s="32"/>
      <c r="C794" s="32"/>
      <c r="D794" s="32"/>
      <c r="E794" s="32"/>
      <c r="F794" s="32"/>
      <c r="G794" s="32"/>
      <c r="H794" s="32"/>
      <c r="I794" s="32"/>
      <c r="J794" s="32"/>
      <c r="K794" s="32"/>
      <c r="L794" s="32"/>
      <c r="M794" s="32"/>
      <c r="N794" s="32"/>
      <c r="O794" s="32"/>
      <c r="P794" s="32"/>
      <c r="Q794" s="32"/>
      <c r="R794" s="32"/>
      <c r="S794" s="32"/>
      <c r="T794" s="32"/>
      <c r="U794" s="32"/>
      <c r="V794" s="32"/>
      <c r="W794" s="32"/>
      <c r="X794" s="32"/>
      <c r="Y794" s="32"/>
      <c r="Z794" s="32"/>
    </row>
    <row r="795" spans="1:26" ht="13.5" customHeight="1">
      <c r="A795" s="32"/>
      <c r="B795" s="32"/>
      <c r="C795" s="32"/>
      <c r="D795" s="32"/>
      <c r="E795" s="32"/>
      <c r="F795" s="32"/>
      <c r="G795" s="32"/>
      <c r="H795" s="32"/>
      <c r="I795" s="32"/>
      <c r="J795" s="32"/>
      <c r="K795" s="32"/>
      <c r="L795" s="32"/>
      <c r="M795" s="32"/>
      <c r="N795" s="32"/>
      <c r="O795" s="32"/>
      <c r="P795" s="32"/>
      <c r="Q795" s="32"/>
      <c r="R795" s="32"/>
      <c r="S795" s="32"/>
      <c r="T795" s="32"/>
      <c r="U795" s="32"/>
      <c r="V795" s="32"/>
      <c r="W795" s="32"/>
      <c r="X795" s="32"/>
      <c r="Y795" s="32"/>
      <c r="Z795" s="32"/>
    </row>
    <row r="796" spans="1:26" ht="13.5" customHeight="1">
      <c r="A796" s="32"/>
      <c r="B796" s="32"/>
      <c r="C796" s="32"/>
      <c r="D796" s="32"/>
      <c r="E796" s="32"/>
      <c r="F796" s="32"/>
      <c r="G796" s="32"/>
      <c r="H796" s="32"/>
      <c r="I796" s="32"/>
      <c r="J796" s="32"/>
      <c r="K796" s="32"/>
      <c r="L796" s="32"/>
      <c r="M796" s="32"/>
      <c r="N796" s="32"/>
      <c r="O796" s="32"/>
      <c r="P796" s="32"/>
      <c r="Q796" s="32"/>
      <c r="R796" s="32"/>
      <c r="S796" s="32"/>
      <c r="T796" s="32"/>
      <c r="U796" s="32"/>
      <c r="V796" s="32"/>
      <c r="W796" s="32"/>
      <c r="X796" s="32"/>
      <c r="Y796" s="32"/>
      <c r="Z796" s="32"/>
    </row>
    <row r="797" spans="1:26" ht="13.5" customHeight="1">
      <c r="A797" s="32"/>
      <c r="B797" s="32"/>
      <c r="C797" s="32"/>
      <c r="D797" s="32"/>
      <c r="E797" s="32"/>
      <c r="F797" s="32"/>
      <c r="G797" s="32"/>
      <c r="H797" s="32"/>
      <c r="I797" s="32"/>
      <c r="J797" s="32"/>
      <c r="K797" s="32"/>
      <c r="L797" s="32"/>
      <c r="M797" s="32"/>
      <c r="N797" s="32"/>
      <c r="O797" s="32"/>
      <c r="P797" s="32"/>
      <c r="Q797" s="32"/>
      <c r="R797" s="32"/>
      <c r="S797" s="32"/>
      <c r="T797" s="32"/>
      <c r="U797" s="32"/>
      <c r="V797" s="32"/>
      <c r="W797" s="32"/>
      <c r="X797" s="32"/>
      <c r="Y797" s="32"/>
      <c r="Z797" s="32"/>
    </row>
    <row r="798" spans="1:26" ht="13.5" customHeight="1">
      <c r="A798" s="32"/>
      <c r="B798" s="32"/>
      <c r="C798" s="32"/>
      <c r="D798" s="32"/>
      <c r="E798" s="32"/>
      <c r="F798" s="32"/>
      <c r="G798" s="32"/>
      <c r="H798" s="32"/>
      <c r="I798" s="32"/>
      <c r="J798" s="32"/>
      <c r="K798" s="32"/>
      <c r="L798" s="32"/>
      <c r="M798" s="32"/>
      <c r="N798" s="32"/>
      <c r="O798" s="32"/>
      <c r="P798" s="32"/>
      <c r="Q798" s="32"/>
      <c r="R798" s="32"/>
      <c r="S798" s="32"/>
      <c r="T798" s="32"/>
      <c r="U798" s="32"/>
      <c r="V798" s="32"/>
      <c r="W798" s="32"/>
      <c r="X798" s="32"/>
      <c r="Y798" s="32"/>
      <c r="Z798" s="32"/>
    </row>
    <row r="799" spans="1:26" ht="13.5" customHeight="1">
      <c r="A799" s="32"/>
      <c r="B799" s="32"/>
      <c r="C799" s="32"/>
      <c r="D799" s="32"/>
      <c r="E799" s="32"/>
      <c r="F799" s="32"/>
      <c r="G799" s="32"/>
      <c r="H799" s="32"/>
      <c r="I799" s="32"/>
      <c r="J799" s="32"/>
      <c r="K799" s="32"/>
      <c r="L799" s="32"/>
      <c r="M799" s="32"/>
      <c r="N799" s="32"/>
      <c r="O799" s="32"/>
      <c r="P799" s="32"/>
      <c r="Q799" s="32"/>
      <c r="R799" s="32"/>
      <c r="S799" s="32"/>
      <c r="T799" s="32"/>
      <c r="U799" s="32"/>
      <c r="V799" s="32"/>
      <c r="W799" s="32"/>
      <c r="X799" s="32"/>
      <c r="Y799" s="32"/>
      <c r="Z799" s="32"/>
    </row>
    <row r="800" spans="1:26" ht="13.5" customHeight="1">
      <c r="A800" s="32"/>
      <c r="B800" s="32"/>
      <c r="C800" s="32"/>
      <c r="D800" s="32"/>
      <c r="E800" s="32"/>
      <c r="F800" s="32"/>
      <c r="G800" s="32"/>
      <c r="H800" s="32"/>
      <c r="I800" s="32"/>
      <c r="J800" s="32"/>
      <c r="K800" s="32"/>
      <c r="L800" s="32"/>
      <c r="M800" s="32"/>
      <c r="N800" s="32"/>
      <c r="O800" s="32"/>
      <c r="P800" s="32"/>
      <c r="Q800" s="32"/>
      <c r="R800" s="32"/>
      <c r="S800" s="32"/>
      <c r="T800" s="32"/>
      <c r="U800" s="32"/>
      <c r="V800" s="32"/>
      <c r="W800" s="32"/>
      <c r="X800" s="32"/>
      <c r="Y800" s="32"/>
      <c r="Z800" s="32"/>
    </row>
    <row r="801" spans="1:26" ht="13.5" customHeight="1">
      <c r="A801" s="32"/>
      <c r="B801" s="32"/>
      <c r="C801" s="32"/>
      <c r="D801" s="32"/>
      <c r="E801" s="32"/>
      <c r="F801" s="32"/>
      <c r="G801" s="32"/>
      <c r="H801" s="32"/>
      <c r="I801" s="32"/>
      <c r="J801" s="32"/>
      <c r="K801" s="32"/>
      <c r="L801" s="32"/>
      <c r="M801" s="32"/>
      <c r="N801" s="32"/>
      <c r="O801" s="32"/>
      <c r="P801" s="32"/>
      <c r="Q801" s="32"/>
      <c r="R801" s="32"/>
      <c r="S801" s="32"/>
      <c r="T801" s="32"/>
      <c r="U801" s="32"/>
      <c r="V801" s="32"/>
      <c r="W801" s="32"/>
      <c r="X801" s="32"/>
      <c r="Y801" s="32"/>
      <c r="Z801" s="32"/>
    </row>
    <row r="802" spans="1:26" ht="13.5" customHeight="1">
      <c r="A802" s="32"/>
      <c r="B802" s="32"/>
      <c r="C802" s="32"/>
      <c r="D802" s="32"/>
      <c r="E802" s="32"/>
      <c r="F802" s="32"/>
      <c r="G802" s="32"/>
      <c r="H802" s="32"/>
      <c r="I802" s="32"/>
      <c r="J802" s="32"/>
      <c r="K802" s="32"/>
      <c r="L802" s="32"/>
      <c r="M802" s="32"/>
      <c r="N802" s="32"/>
      <c r="O802" s="32"/>
      <c r="P802" s="32"/>
      <c r="Q802" s="32"/>
      <c r="R802" s="32"/>
      <c r="S802" s="32"/>
      <c r="T802" s="32"/>
      <c r="U802" s="32"/>
      <c r="V802" s="32"/>
      <c r="W802" s="32"/>
      <c r="X802" s="32"/>
      <c r="Y802" s="32"/>
      <c r="Z802" s="32"/>
    </row>
    <row r="803" spans="1:26" ht="13.5" customHeight="1">
      <c r="A803" s="32"/>
      <c r="B803" s="32"/>
      <c r="C803" s="32"/>
      <c r="D803" s="32"/>
      <c r="E803" s="32"/>
      <c r="F803" s="32"/>
      <c r="G803" s="32"/>
      <c r="H803" s="32"/>
      <c r="I803" s="32"/>
      <c r="J803" s="32"/>
      <c r="K803" s="32"/>
      <c r="L803" s="32"/>
      <c r="M803" s="32"/>
      <c r="N803" s="32"/>
      <c r="O803" s="32"/>
      <c r="P803" s="32"/>
      <c r="Q803" s="32"/>
      <c r="R803" s="32"/>
      <c r="S803" s="32"/>
      <c r="T803" s="32"/>
      <c r="U803" s="32"/>
      <c r="V803" s="32"/>
      <c r="W803" s="32"/>
      <c r="X803" s="32"/>
      <c r="Y803" s="32"/>
      <c r="Z803" s="32"/>
    </row>
    <row r="804" spans="1:26" ht="13.5" customHeight="1">
      <c r="A804" s="32"/>
      <c r="B804" s="32"/>
      <c r="C804" s="32"/>
      <c r="D804" s="32"/>
      <c r="E804" s="32"/>
      <c r="F804" s="32"/>
      <c r="G804" s="32"/>
      <c r="H804" s="32"/>
      <c r="I804" s="32"/>
      <c r="J804" s="32"/>
      <c r="K804" s="32"/>
      <c r="L804" s="32"/>
      <c r="M804" s="32"/>
      <c r="N804" s="32"/>
      <c r="O804" s="32"/>
      <c r="P804" s="32"/>
      <c r="Q804" s="32"/>
      <c r="R804" s="32"/>
      <c r="S804" s="32"/>
      <c r="T804" s="32"/>
      <c r="U804" s="32"/>
      <c r="V804" s="32"/>
      <c r="W804" s="32"/>
      <c r="X804" s="32"/>
      <c r="Y804" s="32"/>
      <c r="Z804" s="32"/>
    </row>
    <row r="805" spans="1:26" ht="13.5" customHeight="1">
      <c r="A805" s="32"/>
      <c r="B805" s="32"/>
      <c r="C805" s="32"/>
      <c r="D805" s="32"/>
      <c r="E805" s="32"/>
      <c r="F805" s="32"/>
      <c r="G805" s="32"/>
      <c r="H805" s="32"/>
      <c r="I805" s="32"/>
      <c r="J805" s="32"/>
      <c r="K805" s="32"/>
      <c r="L805" s="32"/>
      <c r="M805" s="32"/>
      <c r="N805" s="32"/>
      <c r="O805" s="32"/>
      <c r="P805" s="32"/>
      <c r="Q805" s="32"/>
      <c r="R805" s="32"/>
      <c r="S805" s="32"/>
      <c r="T805" s="32"/>
      <c r="U805" s="32"/>
      <c r="V805" s="32"/>
      <c r="W805" s="32"/>
      <c r="X805" s="32"/>
      <c r="Y805" s="32"/>
      <c r="Z805" s="32"/>
    </row>
    <row r="806" spans="1:26" ht="13.5" customHeight="1">
      <c r="A806" s="32"/>
      <c r="B806" s="32"/>
      <c r="C806" s="32"/>
      <c r="D806" s="32"/>
      <c r="E806" s="32"/>
      <c r="F806" s="32"/>
      <c r="G806" s="32"/>
      <c r="H806" s="32"/>
      <c r="I806" s="32"/>
      <c r="J806" s="32"/>
      <c r="K806" s="32"/>
      <c r="L806" s="32"/>
      <c r="M806" s="32"/>
      <c r="N806" s="32"/>
      <c r="O806" s="32"/>
      <c r="P806" s="32"/>
      <c r="Q806" s="32"/>
      <c r="R806" s="32"/>
      <c r="S806" s="32"/>
      <c r="T806" s="32"/>
      <c r="U806" s="32"/>
      <c r="V806" s="32"/>
      <c r="W806" s="32"/>
      <c r="X806" s="32"/>
      <c r="Y806" s="32"/>
      <c r="Z806" s="32"/>
    </row>
    <row r="807" spans="1:26" ht="13.5" customHeight="1">
      <c r="A807" s="32"/>
      <c r="B807" s="32"/>
      <c r="C807" s="32"/>
      <c r="D807" s="32"/>
      <c r="E807" s="32"/>
      <c r="F807" s="32"/>
      <c r="G807" s="32"/>
      <c r="H807" s="32"/>
      <c r="I807" s="32"/>
      <c r="J807" s="32"/>
      <c r="K807" s="32"/>
      <c r="L807" s="32"/>
      <c r="M807" s="32"/>
      <c r="N807" s="32"/>
      <c r="O807" s="32"/>
      <c r="P807" s="32"/>
      <c r="Q807" s="32"/>
      <c r="R807" s="32"/>
      <c r="S807" s="32"/>
      <c r="T807" s="32"/>
      <c r="U807" s="32"/>
      <c r="V807" s="32"/>
      <c r="W807" s="32"/>
      <c r="X807" s="32"/>
      <c r="Y807" s="32"/>
      <c r="Z807" s="32"/>
    </row>
    <row r="808" spans="1:26" ht="13.5" customHeight="1">
      <c r="A808" s="32"/>
      <c r="B808" s="32"/>
      <c r="C808" s="32"/>
      <c r="D808" s="32"/>
      <c r="E808" s="32"/>
      <c r="F808" s="32"/>
      <c r="G808" s="32"/>
      <c r="H808" s="32"/>
      <c r="I808" s="32"/>
      <c r="J808" s="32"/>
      <c r="K808" s="32"/>
      <c r="L808" s="32"/>
      <c r="M808" s="32"/>
      <c r="N808" s="32"/>
      <c r="O808" s="32"/>
      <c r="P808" s="32"/>
      <c r="Q808" s="32"/>
      <c r="R808" s="32"/>
      <c r="S808" s="32"/>
      <c r="T808" s="32"/>
      <c r="U808" s="32"/>
      <c r="V808" s="32"/>
      <c r="W808" s="32"/>
      <c r="X808" s="32"/>
      <c r="Y808" s="32"/>
      <c r="Z808" s="32"/>
    </row>
    <row r="809" spans="1:26" ht="13.5" customHeight="1">
      <c r="A809" s="32"/>
      <c r="B809" s="32"/>
      <c r="C809" s="32"/>
      <c r="D809" s="32"/>
      <c r="E809" s="32"/>
      <c r="F809" s="32"/>
      <c r="G809" s="32"/>
      <c r="H809" s="32"/>
      <c r="I809" s="32"/>
      <c r="J809" s="32"/>
      <c r="K809" s="32"/>
      <c r="L809" s="32"/>
      <c r="M809" s="32"/>
      <c r="N809" s="32"/>
      <c r="O809" s="32"/>
      <c r="P809" s="32"/>
      <c r="Q809" s="32"/>
      <c r="R809" s="32"/>
      <c r="S809" s="32"/>
      <c r="T809" s="32"/>
      <c r="U809" s="32"/>
      <c r="V809" s="32"/>
      <c r="W809" s="32"/>
      <c r="X809" s="32"/>
      <c r="Y809" s="32"/>
      <c r="Z809" s="32"/>
    </row>
    <row r="810" spans="1:26" ht="13.5" customHeight="1">
      <c r="A810" s="32"/>
      <c r="B810" s="32"/>
      <c r="C810" s="32"/>
      <c r="D810" s="32"/>
      <c r="E810" s="32"/>
      <c r="F810" s="32"/>
      <c r="G810" s="32"/>
      <c r="H810" s="32"/>
      <c r="I810" s="32"/>
      <c r="J810" s="32"/>
      <c r="K810" s="32"/>
      <c r="L810" s="32"/>
      <c r="M810" s="32"/>
      <c r="N810" s="32"/>
      <c r="O810" s="32"/>
      <c r="P810" s="32"/>
      <c r="Q810" s="32"/>
      <c r="R810" s="32"/>
      <c r="S810" s="32"/>
      <c r="T810" s="32"/>
      <c r="U810" s="32"/>
      <c r="V810" s="32"/>
      <c r="W810" s="32"/>
      <c r="X810" s="32"/>
      <c r="Y810" s="32"/>
      <c r="Z810" s="32"/>
    </row>
    <row r="811" spans="1:26" ht="13.5" customHeight="1">
      <c r="A811" s="32"/>
      <c r="B811" s="32"/>
      <c r="C811" s="32"/>
      <c r="D811" s="32"/>
      <c r="E811" s="32"/>
      <c r="F811" s="32"/>
      <c r="G811" s="32"/>
      <c r="H811" s="32"/>
      <c r="I811" s="32"/>
      <c r="J811" s="32"/>
      <c r="K811" s="32"/>
      <c r="L811" s="32"/>
      <c r="M811" s="32"/>
      <c r="N811" s="32"/>
      <c r="O811" s="32"/>
      <c r="P811" s="32"/>
      <c r="Q811" s="32"/>
      <c r="R811" s="32"/>
      <c r="S811" s="32"/>
      <c r="T811" s="32"/>
      <c r="U811" s="32"/>
      <c r="V811" s="32"/>
      <c r="W811" s="32"/>
      <c r="X811" s="32"/>
      <c r="Y811" s="32"/>
      <c r="Z811" s="32"/>
    </row>
    <row r="812" spans="1:26" ht="13.5" customHeight="1">
      <c r="A812" s="32"/>
      <c r="B812" s="32"/>
      <c r="C812" s="32"/>
      <c r="D812" s="32"/>
      <c r="E812" s="32"/>
      <c r="F812" s="32"/>
      <c r="G812" s="32"/>
      <c r="H812" s="32"/>
      <c r="I812" s="32"/>
      <c r="J812" s="32"/>
      <c r="K812" s="32"/>
      <c r="L812" s="32"/>
      <c r="M812" s="32"/>
      <c r="N812" s="32"/>
      <c r="O812" s="32"/>
      <c r="P812" s="32"/>
      <c r="Q812" s="32"/>
      <c r="R812" s="32"/>
      <c r="S812" s="32"/>
      <c r="T812" s="32"/>
      <c r="U812" s="32"/>
      <c r="V812" s="32"/>
      <c r="W812" s="32"/>
      <c r="X812" s="32"/>
      <c r="Y812" s="32"/>
      <c r="Z812" s="32"/>
    </row>
    <row r="813" spans="1:26" ht="13.5" customHeight="1">
      <c r="A813" s="32"/>
      <c r="B813" s="32"/>
      <c r="C813" s="32"/>
      <c r="D813" s="32"/>
      <c r="E813" s="32"/>
      <c r="F813" s="32"/>
      <c r="G813" s="32"/>
      <c r="H813" s="32"/>
      <c r="I813" s="32"/>
      <c r="J813" s="32"/>
      <c r="K813" s="32"/>
      <c r="L813" s="32"/>
      <c r="M813" s="32"/>
      <c r="N813" s="32"/>
      <c r="O813" s="32"/>
      <c r="P813" s="32"/>
      <c r="Q813" s="32"/>
      <c r="R813" s="32"/>
      <c r="S813" s="32"/>
      <c r="T813" s="32"/>
      <c r="U813" s="32"/>
      <c r="V813" s="32"/>
      <c r="W813" s="32"/>
      <c r="X813" s="32"/>
      <c r="Y813" s="32"/>
      <c r="Z813" s="32"/>
    </row>
    <row r="814" spans="1:26" ht="13.5" customHeight="1">
      <c r="A814" s="32"/>
      <c r="B814" s="32"/>
      <c r="C814" s="32"/>
      <c r="D814" s="32"/>
      <c r="E814" s="32"/>
      <c r="F814" s="32"/>
      <c r="G814" s="32"/>
      <c r="H814" s="32"/>
      <c r="I814" s="32"/>
      <c r="J814" s="32"/>
      <c r="K814" s="32"/>
      <c r="L814" s="32"/>
      <c r="M814" s="32"/>
      <c r="N814" s="32"/>
      <c r="O814" s="32"/>
      <c r="P814" s="32"/>
      <c r="Q814" s="32"/>
      <c r="R814" s="32"/>
      <c r="S814" s="32"/>
      <c r="T814" s="32"/>
      <c r="U814" s="32"/>
      <c r="V814" s="32"/>
      <c r="W814" s="32"/>
      <c r="X814" s="32"/>
      <c r="Y814" s="32"/>
      <c r="Z814" s="32"/>
    </row>
    <row r="815" spans="1:26" ht="13.5" customHeight="1">
      <c r="A815" s="32"/>
      <c r="B815" s="32"/>
      <c r="C815" s="32"/>
      <c r="D815" s="32"/>
      <c r="E815" s="32"/>
      <c r="F815" s="32"/>
      <c r="G815" s="32"/>
      <c r="H815" s="32"/>
      <c r="I815" s="32"/>
      <c r="J815" s="32"/>
      <c r="K815" s="32"/>
      <c r="L815" s="32"/>
      <c r="M815" s="32"/>
      <c r="N815" s="32"/>
      <c r="O815" s="32"/>
      <c r="P815" s="32"/>
      <c r="Q815" s="32"/>
      <c r="R815" s="32"/>
      <c r="S815" s="32"/>
      <c r="T815" s="32"/>
      <c r="U815" s="32"/>
      <c r="V815" s="32"/>
      <c r="W815" s="32"/>
      <c r="X815" s="32"/>
      <c r="Y815" s="32"/>
      <c r="Z815" s="32"/>
    </row>
    <row r="816" spans="1:26" ht="13.5" customHeight="1">
      <c r="A816" s="32"/>
      <c r="B816" s="32"/>
      <c r="C816" s="32"/>
      <c r="D816" s="32"/>
      <c r="E816" s="32"/>
      <c r="F816" s="32"/>
      <c r="G816" s="32"/>
      <c r="H816" s="32"/>
      <c r="I816" s="32"/>
      <c r="J816" s="32"/>
      <c r="K816" s="32"/>
      <c r="L816" s="32"/>
      <c r="M816" s="32"/>
      <c r="N816" s="32"/>
      <c r="O816" s="32"/>
      <c r="P816" s="32"/>
      <c r="Q816" s="32"/>
      <c r="R816" s="32"/>
      <c r="S816" s="32"/>
      <c r="T816" s="32"/>
      <c r="U816" s="32"/>
      <c r="V816" s="32"/>
      <c r="W816" s="32"/>
      <c r="X816" s="32"/>
      <c r="Y816" s="32"/>
      <c r="Z816" s="32"/>
    </row>
    <row r="817" spans="1:26" ht="13.5" customHeight="1">
      <c r="A817" s="32"/>
      <c r="B817" s="32"/>
      <c r="C817" s="32"/>
      <c r="D817" s="32"/>
      <c r="E817" s="32"/>
      <c r="F817" s="32"/>
      <c r="G817" s="32"/>
      <c r="H817" s="32"/>
      <c r="I817" s="32"/>
      <c r="J817" s="32"/>
      <c r="K817" s="32"/>
      <c r="L817" s="32"/>
      <c r="M817" s="32"/>
      <c r="N817" s="32"/>
      <c r="O817" s="32"/>
      <c r="P817" s="32"/>
      <c r="Q817" s="32"/>
      <c r="R817" s="32"/>
      <c r="S817" s="32"/>
      <c r="T817" s="32"/>
      <c r="U817" s="32"/>
      <c r="V817" s="32"/>
      <c r="W817" s="32"/>
      <c r="X817" s="32"/>
      <c r="Y817" s="32"/>
      <c r="Z817" s="32"/>
    </row>
    <row r="818" spans="1:26" ht="13.5" customHeight="1">
      <c r="A818" s="32"/>
      <c r="B818" s="32"/>
      <c r="C818" s="32"/>
      <c r="D818" s="32"/>
      <c r="E818" s="32"/>
      <c r="F818" s="32"/>
      <c r="G818" s="32"/>
      <c r="H818" s="32"/>
      <c r="I818" s="32"/>
      <c r="J818" s="32"/>
      <c r="K818" s="32"/>
      <c r="L818" s="32"/>
      <c r="M818" s="32"/>
      <c r="N818" s="32"/>
      <c r="O818" s="32"/>
      <c r="P818" s="32"/>
      <c r="Q818" s="32"/>
      <c r="R818" s="32"/>
      <c r="S818" s="32"/>
      <c r="T818" s="32"/>
      <c r="U818" s="32"/>
      <c r="V818" s="32"/>
      <c r="W818" s="32"/>
      <c r="X818" s="32"/>
      <c r="Y818" s="32"/>
      <c r="Z818" s="32"/>
    </row>
    <row r="819" spans="1:26" ht="13.5" customHeight="1">
      <c r="A819" s="32"/>
      <c r="B819" s="32"/>
      <c r="C819" s="32"/>
      <c r="D819" s="32"/>
      <c r="E819" s="32"/>
      <c r="F819" s="32"/>
      <c r="G819" s="32"/>
      <c r="H819" s="32"/>
      <c r="I819" s="32"/>
      <c r="J819" s="32"/>
      <c r="K819" s="32"/>
      <c r="L819" s="32"/>
      <c r="M819" s="32"/>
      <c r="N819" s="32"/>
      <c r="O819" s="32"/>
      <c r="P819" s="32"/>
      <c r="Q819" s="32"/>
      <c r="R819" s="32"/>
      <c r="S819" s="32"/>
      <c r="T819" s="32"/>
      <c r="U819" s="32"/>
      <c r="V819" s="32"/>
      <c r="W819" s="32"/>
      <c r="X819" s="32"/>
      <c r="Y819" s="32"/>
      <c r="Z819" s="32"/>
    </row>
    <row r="820" spans="1:26" ht="13.5" customHeight="1">
      <c r="A820" s="32"/>
      <c r="B820" s="32"/>
      <c r="C820" s="32"/>
      <c r="D820" s="32"/>
      <c r="E820" s="32"/>
      <c r="F820" s="32"/>
      <c r="G820" s="32"/>
      <c r="H820" s="32"/>
      <c r="I820" s="32"/>
      <c r="J820" s="32"/>
      <c r="K820" s="32"/>
      <c r="L820" s="32"/>
      <c r="M820" s="32"/>
      <c r="N820" s="32"/>
      <c r="O820" s="32"/>
      <c r="P820" s="32"/>
      <c r="Q820" s="32"/>
      <c r="R820" s="32"/>
      <c r="S820" s="32"/>
      <c r="T820" s="32"/>
      <c r="U820" s="32"/>
      <c r="V820" s="32"/>
      <c r="W820" s="32"/>
      <c r="X820" s="32"/>
      <c r="Y820" s="32"/>
      <c r="Z820" s="32"/>
    </row>
    <row r="821" spans="1:26" ht="13.5" customHeight="1">
      <c r="A821" s="32"/>
      <c r="B821" s="32"/>
      <c r="C821" s="32"/>
      <c r="D821" s="32"/>
      <c r="E821" s="32"/>
      <c r="F821" s="32"/>
      <c r="G821" s="32"/>
      <c r="H821" s="32"/>
      <c r="I821" s="32"/>
      <c r="J821" s="32"/>
      <c r="K821" s="32"/>
      <c r="L821" s="32"/>
      <c r="M821" s="32"/>
      <c r="N821" s="32"/>
      <c r="O821" s="32"/>
      <c r="P821" s="32"/>
      <c r="Q821" s="32"/>
      <c r="R821" s="32"/>
      <c r="S821" s="32"/>
      <c r="T821" s="32"/>
      <c r="U821" s="32"/>
      <c r="V821" s="32"/>
      <c r="W821" s="32"/>
      <c r="X821" s="32"/>
      <c r="Y821" s="32"/>
      <c r="Z821" s="32"/>
    </row>
    <row r="822" spans="1:26" ht="13.5" customHeight="1">
      <c r="A822" s="32"/>
      <c r="B822" s="32"/>
      <c r="C822" s="32"/>
      <c r="D822" s="32"/>
      <c r="E822" s="32"/>
      <c r="F822" s="32"/>
      <c r="G822" s="32"/>
      <c r="H822" s="32"/>
      <c r="I822" s="32"/>
      <c r="J822" s="32"/>
      <c r="K822" s="32"/>
      <c r="L822" s="32"/>
      <c r="M822" s="32"/>
      <c r="N822" s="32"/>
      <c r="O822" s="32"/>
      <c r="P822" s="32"/>
      <c r="Q822" s="32"/>
      <c r="R822" s="32"/>
      <c r="S822" s="32"/>
      <c r="T822" s="32"/>
      <c r="U822" s="32"/>
      <c r="V822" s="32"/>
      <c r="W822" s="32"/>
      <c r="X822" s="32"/>
      <c r="Y822" s="32"/>
      <c r="Z822" s="32"/>
    </row>
    <row r="823" spans="1:26" ht="13.5" customHeight="1">
      <c r="A823" s="32"/>
      <c r="B823" s="32"/>
      <c r="C823" s="32"/>
      <c r="D823" s="32"/>
      <c r="E823" s="32"/>
      <c r="F823" s="32"/>
      <c r="G823" s="32"/>
      <c r="H823" s="32"/>
      <c r="I823" s="32"/>
      <c r="J823" s="32"/>
      <c r="K823" s="32"/>
      <c r="L823" s="32"/>
      <c r="M823" s="32"/>
      <c r="N823" s="32"/>
      <c r="O823" s="32"/>
      <c r="P823" s="32"/>
      <c r="Q823" s="32"/>
      <c r="R823" s="32"/>
      <c r="S823" s="32"/>
      <c r="T823" s="32"/>
      <c r="U823" s="32"/>
      <c r="V823" s="32"/>
      <c r="W823" s="32"/>
      <c r="X823" s="32"/>
      <c r="Y823" s="32"/>
      <c r="Z823" s="32"/>
    </row>
    <row r="824" spans="1:26" ht="13.5" customHeight="1">
      <c r="A824" s="32"/>
      <c r="B824" s="32"/>
      <c r="C824" s="32"/>
      <c r="D824" s="32"/>
      <c r="E824" s="32"/>
      <c r="F824" s="32"/>
      <c r="G824" s="32"/>
      <c r="H824" s="32"/>
      <c r="I824" s="32"/>
      <c r="J824" s="32"/>
      <c r="K824" s="32"/>
      <c r="L824" s="32"/>
      <c r="M824" s="32"/>
      <c r="N824" s="32"/>
      <c r="O824" s="32"/>
      <c r="P824" s="32"/>
      <c r="Q824" s="32"/>
      <c r="R824" s="32"/>
      <c r="S824" s="32"/>
      <c r="T824" s="32"/>
      <c r="U824" s="32"/>
      <c r="V824" s="32"/>
      <c r="W824" s="32"/>
      <c r="X824" s="32"/>
      <c r="Y824" s="32"/>
      <c r="Z824" s="32"/>
    </row>
    <row r="825" spans="1:26" ht="13.5" customHeight="1">
      <c r="A825" s="32"/>
      <c r="B825" s="32"/>
      <c r="C825" s="32"/>
      <c r="D825" s="32"/>
      <c r="E825" s="32"/>
      <c r="F825" s="32"/>
      <c r="G825" s="32"/>
      <c r="H825" s="32"/>
      <c r="I825" s="32"/>
      <c r="J825" s="32"/>
      <c r="K825" s="32"/>
      <c r="L825" s="32"/>
      <c r="M825" s="32"/>
      <c r="N825" s="32"/>
      <c r="O825" s="32"/>
      <c r="P825" s="32"/>
      <c r="Q825" s="32"/>
      <c r="R825" s="32"/>
      <c r="S825" s="32"/>
      <c r="T825" s="32"/>
      <c r="U825" s="32"/>
      <c r="V825" s="32"/>
      <c r="W825" s="32"/>
      <c r="X825" s="32"/>
      <c r="Y825" s="32"/>
      <c r="Z825" s="32"/>
    </row>
    <row r="826" spans="1:26" ht="13.5" customHeight="1">
      <c r="A826" s="32"/>
      <c r="B826" s="32"/>
      <c r="C826" s="32"/>
      <c r="D826" s="32"/>
      <c r="E826" s="32"/>
      <c r="F826" s="32"/>
      <c r="G826" s="32"/>
      <c r="H826" s="32"/>
      <c r="I826" s="32"/>
      <c r="J826" s="32"/>
      <c r="K826" s="32"/>
      <c r="L826" s="32"/>
      <c r="M826" s="32"/>
      <c r="N826" s="32"/>
      <c r="O826" s="32"/>
      <c r="P826" s="32"/>
      <c r="Q826" s="32"/>
      <c r="R826" s="32"/>
      <c r="S826" s="32"/>
      <c r="T826" s="32"/>
      <c r="U826" s="32"/>
      <c r="V826" s="32"/>
      <c r="W826" s="32"/>
      <c r="X826" s="32"/>
      <c r="Y826" s="32"/>
      <c r="Z826" s="32"/>
    </row>
    <row r="827" spans="1:26" ht="13.5" customHeight="1">
      <c r="A827" s="32"/>
      <c r="B827" s="32"/>
      <c r="C827" s="32"/>
      <c r="D827" s="32"/>
      <c r="E827" s="32"/>
      <c r="F827" s="32"/>
      <c r="G827" s="32"/>
      <c r="H827" s="32"/>
      <c r="I827" s="32"/>
      <c r="J827" s="32"/>
      <c r="K827" s="32"/>
      <c r="L827" s="32"/>
      <c r="M827" s="32"/>
      <c r="N827" s="32"/>
      <c r="O827" s="32"/>
      <c r="P827" s="32"/>
      <c r="Q827" s="32"/>
      <c r="R827" s="32"/>
      <c r="S827" s="32"/>
      <c r="T827" s="32"/>
      <c r="U827" s="32"/>
      <c r="V827" s="32"/>
      <c r="W827" s="32"/>
      <c r="X827" s="32"/>
      <c r="Y827" s="32"/>
      <c r="Z827" s="32"/>
    </row>
    <row r="828" spans="1:26" ht="13.5" customHeight="1">
      <c r="A828" s="32"/>
      <c r="B828" s="32"/>
      <c r="C828" s="32"/>
      <c r="D828" s="32"/>
      <c r="E828" s="32"/>
      <c r="F828" s="32"/>
      <c r="G828" s="32"/>
      <c r="H828" s="32"/>
      <c r="I828" s="32"/>
      <c r="J828" s="32"/>
      <c r="K828" s="32"/>
      <c r="L828" s="32"/>
      <c r="M828" s="32"/>
      <c r="N828" s="32"/>
      <c r="O828" s="32"/>
      <c r="P828" s="32"/>
      <c r="Q828" s="32"/>
      <c r="R828" s="32"/>
      <c r="S828" s="32"/>
      <c r="T828" s="32"/>
      <c r="U828" s="32"/>
      <c r="V828" s="32"/>
      <c r="W828" s="32"/>
      <c r="X828" s="32"/>
      <c r="Y828" s="32"/>
      <c r="Z828" s="32"/>
    </row>
    <row r="829" spans="1:26" ht="13.5" customHeight="1">
      <c r="A829" s="32"/>
      <c r="B829" s="32"/>
      <c r="C829" s="32"/>
      <c r="D829" s="32"/>
      <c r="E829" s="32"/>
      <c r="F829" s="32"/>
      <c r="G829" s="32"/>
      <c r="H829" s="32"/>
      <c r="I829" s="32"/>
      <c r="J829" s="32"/>
      <c r="K829" s="32"/>
      <c r="L829" s="32"/>
      <c r="M829" s="32"/>
      <c r="N829" s="32"/>
      <c r="O829" s="32"/>
      <c r="P829" s="32"/>
      <c r="Q829" s="32"/>
      <c r="R829" s="32"/>
      <c r="S829" s="32"/>
      <c r="T829" s="32"/>
      <c r="U829" s="32"/>
      <c r="V829" s="32"/>
      <c r="W829" s="32"/>
      <c r="X829" s="32"/>
      <c r="Y829" s="32"/>
      <c r="Z829" s="32"/>
    </row>
    <row r="830" spans="1:26" ht="13.5" customHeight="1">
      <c r="A830" s="32"/>
      <c r="B830" s="32"/>
      <c r="C830" s="32"/>
      <c r="D830" s="32"/>
      <c r="E830" s="32"/>
      <c r="F830" s="32"/>
      <c r="G830" s="32"/>
      <c r="H830" s="32"/>
      <c r="I830" s="32"/>
      <c r="J830" s="32"/>
      <c r="K830" s="32"/>
      <c r="L830" s="32"/>
      <c r="M830" s="32"/>
      <c r="N830" s="32"/>
      <c r="O830" s="32"/>
      <c r="P830" s="32"/>
      <c r="Q830" s="32"/>
      <c r="R830" s="32"/>
      <c r="S830" s="32"/>
      <c r="T830" s="32"/>
      <c r="U830" s="32"/>
      <c r="V830" s="32"/>
      <c r="W830" s="32"/>
      <c r="X830" s="32"/>
      <c r="Y830" s="32"/>
      <c r="Z830" s="32"/>
    </row>
    <row r="831" spans="1:26" ht="13.5" customHeight="1">
      <c r="A831" s="32"/>
      <c r="B831" s="32"/>
      <c r="C831" s="32"/>
      <c r="D831" s="32"/>
      <c r="E831" s="32"/>
      <c r="F831" s="32"/>
      <c r="G831" s="32"/>
      <c r="H831" s="32"/>
      <c r="I831" s="32"/>
      <c r="J831" s="32"/>
      <c r="K831" s="32"/>
      <c r="L831" s="32"/>
      <c r="M831" s="32"/>
      <c r="N831" s="32"/>
      <c r="O831" s="32"/>
      <c r="P831" s="32"/>
      <c r="Q831" s="32"/>
      <c r="R831" s="32"/>
      <c r="S831" s="32"/>
      <c r="T831" s="32"/>
      <c r="U831" s="32"/>
      <c r="V831" s="32"/>
      <c r="W831" s="32"/>
      <c r="X831" s="32"/>
      <c r="Y831" s="32"/>
      <c r="Z831" s="32"/>
    </row>
    <row r="832" spans="1:26" ht="13.5" customHeight="1">
      <c r="A832" s="32"/>
      <c r="B832" s="32"/>
      <c r="C832" s="32"/>
      <c r="D832" s="32"/>
      <c r="E832" s="32"/>
      <c r="F832" s="32"/>
      <c r="G832" s="32"/>
      <c r="H832" s="32"/>
      <c r="I832" s="32"/>
      <c r="J832" s="32"/>
      <c r="K832" s="32"/>
      <c r="L832" s="32"/>
      <c r="M832" s="32"/>
      <c r="N832" s="32"/>
      <c r="O832" s="32"/>
      <c r="P832" s="32"/>
      <c r="Q832" s="32"/>
      <c r="R832" s="32"/>
      <c r="S832" s="32"/>
      <c r="T832" s="32"/>
      <c r="U832" s="32"/>
      <c r="V832" s="32"/>
      <c r="W832" s="32"/>
      <c r="X832" s="32"/>
      <c r="Y832" s="32"/>
      <c r="Z832" s="32"/>
    </row>
    <row r="833" spans="1:26" ht="13.5" customHeight="1">
      <c r="A833" s="32"/>
      <c r="B833" s="32"/>
      <c r="C833" s="32"/>
      <c r="D833" s="32"/>
      <c r="E833" s="32"/>
      <c r="F833" s="32"/>
      <c r="G833" s="32"/>
      <c r="H833" s="32"/>
      <c r="I833" s="32"/>
      <c r="J833" s="32"/>
      <c r="K833" s="32"/>
      <c r="L833" s="32"/>
      <c r="M833" s="32"/>
      <c r="N833" s="32"/>
      <c r="O833" s="32"/>
      <c r="P833" s="32"/>
      <c r="Q833" s="32"/>
      <c r="R833" s="32"/>
      <c r="S833" s="32"/>
      <c r="T833" s="32"/>
      <c r="U833" s="32"/>
      <c r="V833" s="32"/>
      <c r="W833" s="32"/>
      <c r="X833" s="32"/>
      <c r="Y833" s="32"/>
      <c r="Z833" s="32"/>
    </row>
    <row r="834" spans="1:26" ht="13.5" customHeight="1">
      <c r="A834" s="32"/>
      <c r="B834" s="32"/>
      <c r="C834" s="32"/>
      <c r="D834" s="32"/>
      <c r="E834" s="32"/>
      <c r="F834" s="32"/>
      <c r="G834" s="32"/>
      <c r="H834" s="32"/>
      <c r="I834" s="32"/>
      <c r="J834" s="32"/>
      <c r="K834" s="32"/>
      <c r="L834" s="32"/>
      <c r="M834" s="32"/>
      <c r="N834" s="32"/>
      <c r="O834" s="32"/>
      <c r="P834" s="32"/>
      <c r="Q834" s="32"/>
      <c r="R834" s="32"/>
      <c r="S834" s="32"/>
      <c r="T834" s="32"/>
      <c r="U834" s="32"/>
      <c r="V834" s="32"/>
      <c r="W834" s="32"/>
      <c r="X834" s="32"/>
      <c r="Y834" s="32"/>
      <c r="Z834" s="32"/>
    </row>
    <row r="835" spans="1:26" ht="13.5" customHeight="1">
      <c r="A835" s="32"/>
      <c r="B835" s="32"/>
      <c r="C835" s="32"/>
      <c r="D835" s="32"/>
      <c r="E835" s="32"/>
      <c r="F835" s="32"/>
      <c r="G835" s="32"/>
      <c r="H835" s="32"/>
      <c r="I835" s="32"/>
      <c r="J835" s="32"/>
      <c r="K835" s="32"/>
      <c r="L835" s="32"/>
      <c r="M835" s="32"/>
      <c r="N835" s="32"/>
      <c r="O835" s="32"/>
      <c r="P835" s="32"/>
      <c r="Q835" s="32"/>
      <c r="R835" s="32"/>
      <c r="S835" s="32"/>
      <c r="T835" s="32"/>
      <c r="U835" s="32"/>
      <c r="V835" s="32"/>
      <c r="W835" s="32"/>
      <c r="X835" s="32"/>
      <c r="Y835" s="32"/>
      <c r="Z835" s="32"/>
    </row>
    <row r="836" spans="1:26" ht="13.5" customHeight="1">
      <c r="A836" s="32"/>
      <c r="B836" s="32"/>
      <c r="C836" s="32"/>
      <c r="D836" s="32"/>
      <c r="E836" s="32"/>
      <c r="F836" s="32"/>
      <c r="G836" s="32"/>
      <c r="H836" s="32"/>
      <c r="I836" s="32"/>
      <c r="J836" s="32"/>
      <c r="K836" s="32"/>
      <c r="L836" s="32"/>
      <c r="M836" s="32"/>
      <c r="N836" s="32"/>
      <c r="O836" s="32"/>
      <c r="P836" s="32"/>
      <c r="Q836" s="32"/>
      <c r="R836" s="32"/>
      <c r="S836" s="32"/>
      <c r="T836" s="32"/>
      <c r="U836" s="32"/>
      <c r="V836" s="32"/>
      <c r="W836" s="32"/>
      <c r="X836" s="32"/>
      <c r="Y836" s="32"/>
      <c r="Z836" s="32"/>
    </row>
    <row r="837" spans="1:26" ht="13.5" customHeight="1">
      <c r="A837" s="32"/>
      <c r="B837" s="32"/>
      <c r="C837" s="32"/>
      <c r="D837" s="32"/>
      <c r="E837" s="32"/>
      <c r="F837" s="32"/>
      <c r="G837" s="32"/>
      <c r="H837" s="32"/>
      <c r="I837" s="32"/>
      <c r="J837" s="32"/>
      <c r="K837" s="32"/>
      <c r="L837" s="32"/>
      <c r="M837" s="32"/>
      <c r="N837" s="32"/>
      <c r="O837" s="32"/>
      <c r="P837" s="32"/>
      <c r="Q837" s="32"/>
      <c r="R837" s="32"/>
      <c r="S837" s="32"/>
      <c r="T837" s="32"/>
      <c r="U837" s="32"/>
      <c r="V837" s="32"/>
      <c r="W837" s="32"/>
      <c r="X837" s="32"/>
      <c r="Y837" s="32"/>
      <c r="Z837" s="32"/>
    </row>
    <row r="838" spans="1:26" ht="13.5" customHeight="1">
      <c r="A838" s="32"/>
      <c r="B838" s="32"/>
      <c r="C838" s="32"/>
      <c r="D838" s="32"/>
      <c r="E838" s="32"/>
      <c r="F838" s="32"/>
      <c r="G838" s="32"/>
      <c r="H838" s="32"/>
      <c r="I838" s="32"/>
      <c r="J838" s="32"/>
      <c r="K838" s="32"/>
      <c r="L838" s="32"/>
      <c r="M838" s="32"/>
      <c r="N838" s="32"/>
      <c r="O838" s="32"/>
      <c r="P838" s="32"/>
      <c r="Q838" s="32"/>
      <c r="R838" s="32"/>
      <c r="S838" s="32"/>
      <c r="T838" s="32"/>
      <c r="U838" s="32"/>
      <c r="V838" s="32"/>
      <c r="W838" s="32"/>
      <c r="X838" s="32"/>
      <c r="Y838" s="32"/>
      <c r="Z838" s="32"/>
    </row>
    <row r="839" spans="1:26" ht="13.5" customHeight="1">
      <c r="A839" s="32"/>
      <c r="B839" s="32"/>
      <c r="C839" s="32"/>
      <c r="D839" s="32"/>
      <c r="E839" s="32"/>
      <c r="F839" s="32"/>
      <c r="G839" s="32"/>
      <c r="H839" s="32"/>
      <c r="I839" s="32"/>
      <c r="J839" s="32"/>
      <c r="K839" s="32"/>
      <c r="L839" s="32"/>
      <c r="M839" s="32"/>
      <c r="N839" s="32"/>
      <c r="O839" s="32"/>
      <c r="P839" s="32"/>
      <c r="Q839" s="32"/>
      <c r="R839" s="32"/>
      <c r="S839" s="32"/>
      <c r="T839" s="32"/>
      <c r="U839" s="32"/>
      <c r="V839" s="32"/>
      <c r="W839" s="32"/>
      <c r="X839" s="32"/>
      <c r="Y839" s="32"/>
      <c r="Z839" s="32"/>
    </row>
    <row r="840" spans="1:26" ht="13.5" customHeight="1">
      <c r="A840" s="32"/>
      <c r="B840" s="32"/>
      <c r="C840" s="32"/>
      <c r="D840" s="32"/>
      <c r="E840" s="32"/>
      <c r="F840" s="32"/>
      <c r="G840" s="32"/>
      <c r="H840" s="32"/>
      <c r="I840" s="32"/>
      <c r="J840" s="32"/>
      <c r="K840" s="32"/>
      <c r="L840" s="32"/>
      <c r="M840" s="32"/>
      <c r="N840" s="32"/>
      <c r="O840" s="32"/>
      <c r="P840" s="32"/>
      <c r="Q840" s="32"/>
      <c r="R840" s="32"/>
      <c r="S840" s="32"/>
      <c r="T840" s="32"/>
      <c r="U840" s="32"/>
      <c r="V840" s="32"/>
      <c r="W840" s="32"/>
      <c r="X840" s="32"/>
      <c r="Y840" s="32"/>
      <c r="Z840" s="32"/>
    </row>
    <row r="841" spans="1:26" ht="13.5" customHeight="1">
      <c r="A841" s="32"/>
      <c r="B841" s="32"/>
      <c r="C841" s="32"/>
      <c r="D841" s="32"/>
      <c r="E841" s="32"/>
      <c r="F841" s="32"/>
      <c r="G841" s="32"/>
      <c r="H841" s="32"/>
      <c r="I841" s="32"/>
      <c r="J841" s="32"/>
      <c r="K841" s="32"/>
      <c r="L841" s="32"/>
      <c r="M841" s="32"/>
      <c r="N841" s="32"/>
      <c r="O841" s="32"/>
      <c r="P841" s="32"/>
      <c r="Q841" s="32"/>
      <c r="R841" s="32"/>
      <c r="S841" s="32"/>
      <c r="T841" s="32"/>
      <c r="U841" s="32"/>
      <c r="V841" s="32"/>
      <c r="W841" s="32"/>
      <c r="X841" s="32"/>
      <c r="Y841" s="32"/>
      <c r="Z841" s="32"/>
    </row>
    <row r="842" spans="1:26" ht="13.5" customHeight="1">
      <c r="A842" s="32"/>
      <c r="B842" s="32"/>
      <c r="C842" s="32"/>
      <c r="D842" s="32"/>
      <c r="E842" s="32"/>
      <c r="F842" s="32"/>
      <c r="G842" s="32"/>
      <c r="H842" s="32"/>
      <c r="I842" s="32"/>
      <c r="J842" s="32"/>
      <c r="K842" s="32"/>
      <c r="L842" s="32"/>
      <c r="M842" s="32"/>
      <c r="N842" s="32"/>
      <c r="O842" s="32"/>
      <c r="P842" s="32"/>
      <c r="Q842" s="32"/>
      <c r="R842" s="32"/>
      <c r="S842" s="32"/>
      <c r="T842" s="32"/>
      <c r="U842" s="32"/>
      <c r="V842" s="32"/>
      <c r="W842" s="32"/>
      <c r="X842" s="32"/>
      <c r="Y842" s="32"/>
      <c r="Z842" s="32"/>
    </row>
    <row r="843" spans="1:26" ht="13.5" customHeight="1">
      <c r="A843" s="32"/>
      <c r="B843" s="32"/>
      <c r="C843" s="32"/>
      <c r="D843" s="32"/>
      <c r="E843" s="32"/>
      <c r="F843" s="32"/>
      <c r="G843" s="32"/>
      <c r="H843" s="32"/>
      <c r="I843" s="32"/>
      <c r="J843" s="32"/>
      <c r="K843" s="32"/>
      <c r="L843" s="32"/>
      <c r="M843" s="32"/>
      <c r="N843" s="32"/>
      <c r="O843" s="32"/>
      <c r="P843" s="32"/>
      <c r="Q843" s="32"/>
      <c r="R843" s="32"/>
      <c r="S843" s="32"/>
      <c r="T843" s="32"/>
      <c r="U843" s="32"/>
      <c r="V843" s="32"/>
      <c r="W843" s="32"/>
      <c r="X843" s="32"/>
      <c r="Y843" s="32"/>
      <c r="Z843" s="32"/>
    </row>
    <row r="844" spans="1:26" ht="13.5" customHeight="1">
      <c r="A844" s="32"/>
      <c r="B844" s="32"/>
      <c r="C844" s="32"/>
      <c r="D844" s="32"/>
      <c r="E844" s="32"/>
      <c r="F844" s="32"/>
      <c r="G844" s="32"/>
      <c r="H844" s="32"/>
      <c r="I844" s="32"/>
      <c r="J844" s="32"/>
      <c r="K844" s="32"/>
      <c r="L844" s="32"/>
      <c r="M844" s="32"/>
      <c r="N844" s="32"/>
      <c r="O844" s="32"/>
      <c r="P844" s="32"/>
      <c r="Q844" s="32"/>
      <c r="R844" s="32"/>
      <c r="S844" s="32"/>
      <c r="T844" s="32"/>
      <c r="U844" s="32"/>
      <c r="V844" s="32"/>
      <c r="W844" s="32"/>
      <c r="X844" s="32"/>
      <c r="Y844" s="32"/>
      <c r="Z844" s="32"/>
    </row>
    <row r="845" spans="1:26" ht="13.5" customHeight="1">
      <c r="A845" s="32"/>
      <c r="B845" s="32"/>
      <c r="C845" s="32"/>
      <c r="D845" s="32"/>
      <c r="E845" s="32"/>
      <c r="F845" s="32"/>
      <c r="G845" s="32"/>
      <c r="H845" s="32"/>
      <c r="I845" s="32"/>
      <c r="J845" s="32"/>
      <c r="K845" s="32"/>
      <c r="L845" s="32"/>
      <c r="M845" s="32"/>
      <c r="N845" s="32"/>
      <c r="O845" s="32"/>
      <c r="P845" s="32"/>
      <c r="Q845" s="32"/>
      <c r="R845" s="32"/>
      <c r="S845" s="32"/>
      <c r="T845" s="32"/>
      <c r="U845" s="32"/>
      <c r="V845" s="32"/>
      <c r="W845" s="32"/>
      <c r="X845" s="32"/>
      <c r="Y845" s="32"/>
      <c r="Z845" s="32"/>
    </row>
    <row r="846" spans="1:26" ht="13.5" customHeight="1">
      <c r="A846" s="32"/>
      <c r="B846" s="32"/>
      <c r="C846" s="32"/>
      <c r="D846" s="32"/>
      <c r="E846" s="32"/>
      <c r="F846" s="32"/>
      <c r="G846" s="32"/>
      <c r="H846" s="32"/>
      <c r="I846" s="32"/>
      <c r="J846" s="32"/>
      <c r="K846" s="32"/>
      <c r="L846" s="32"/>
      <c r="M846" s="32"/>
      <c r="N846" s="32"/>
      <c r="O846" s="32"/>
      <c r="P846" s="32"/>
      <c r="Q846" s="32"/>
      <c r="R846" s="32"/>
      <c r="S846" s="32"/>
      <c r="T846" s="32"/>
      <c r="U846" s="32"/>
      <c r="V846" s="32"/>
      <c r="W846" s="32"/>
      <c r="X846" s="32"/>
      <c r="Y846" s="32"/>
      <c r="Z846" s="32"/>
    </row>
    <row r="847" spans="1:26" ht="13.5" customHeight="1">
      <c r="A847" s="32"/>
      <c r="B847" s="32"/>
      <c r="C847" s="32"/>
      <c r="D847" s="32"/>
      <c r="E847" s="32"/>
      <c r="F847" s="32"/>
      <c r="G847" s="32"/>
      <c r="H847" s="32"/>
      <c r="I847" s="32"/>
      <c r="J847" s="32"/>
      <c r="K847" s="32"/>
      <c r="L847" s="32"/>
      <c r="M847" s="32"/>
      <c r="N847" s="32"/>
      <c r="O847" s="32"/>
      <c r="P847" s="32"/>
      <c r="Q847" s="32"/>
      <c r="R847" s="32"/>
      <c r="S847" s="32"/>
      <c r="T847" s="32"/>
      <c r="U847" s="32"/>
      <c r="V847" s="32"/>
      <c r="W847" s="32"/>
      <c r="X847" s="32"/>
      <c r="Y847" s="32"/>
      <c r="Z847" s="32"/>
    </row>
    <row r="848" spans="1:26" ht="13.5" customHeight="1">
      <c r="A848" s="32"/>
      <c r="B848" s="32"/>
      <c r="C848" s="32"/>
      <c r="D848" s="32"/>
      <c r="E848" s="32"/>
      <c r="F848" s="32"/>
      <c r="G848" s="32"/>
      <c r="H848" s="32"/>
      <c r="I848" s="32"/>
      <c r="J848" s="32"/>
      <c r="K848" s="32"/>
      <c r="L848" s="32"/>
      <c r="M848" s="32"/>
      <c r="N848" s="32"/>
      <c r="O848" s="32"/>
      <c r="P848" s="32"/>
      <c r="Q848" s="32"/>
      <c r="R848" s="32"/>
      <c r="S848" s="32"/>
      <c r="T848" s="32"/>
      <c r="U848" s="32"/>
      <c r="V848" s="32"/>
      <c r="W848" s="32"/>
      <c r="X848" s="32"/>
      <c r="Y848" s="32"/>
      <c r="Z848" s="32"/>
    </row>
    <row r="849" spans="1:26" ht="13.5" customHeight="1">
      <c r="A849" s="32"/>
      <c r="B849" s="32"/>
      <c r="C849" s="32"/>
      <c r="D849" s="32"/>
      <c r="E849" s="32"/>
      <c r="F849" s="32"/>
      <c r="G849" s="32"/>
      <c r="H849" s="32"/>
      <c r="I849" s="32"/>
      <c r="J849" s="32"/>
      <c r="K849" s="32"/>
      <c r="L849" s="32"/>
      <c r="M849" s="32"/>
      <c r="N849" s="32"/>
      <c r="O849" s="32"/>
      <c r="P849" s="32"/>
      <c r="Q849" s="32"/>
      <c r="R849" s="32"/>
      <c r="S849" s="32"/>
      <c r="T849" s="32"/>
      <c r="U849" s="32"/>
      <c r="V849" s="32"/>
      <c r="W849" s="32"/>
      <c r="X849" s="32"/>
      <c r="Y849" s="32"/>
      <c r="Z849" s="32"/>
    </row>
    <row r="850" spans="1:26" ht="13.5" customHeight="1">
      <c r="A850" s="32"/>
      <c r="B850" s="32"/>
      <c r="C850" s="32"/>
      <c r="D850" s="32"/>
      <c r="E850" s="32"/>
      <c r="F850" s="32"/>
      <c r="G850" s="32"/>
      <c r="H850" s="32"/>
      <c r="I850" s="32"/>
      <c r="J850" s="32"/>
      <c r="K850" s="32"/>
      <c r="L850" s="32"/>
      <c r="M850" s="32"/>
      <c r="N850" s="32"/>
      <c r="O850" s="32"/>
      <c r="P850" s="32"/>
      <c r="Q850" s="32"/>
      <c r="R850" s="32"/>
      <c r="S850" s="32"/>
      <c r="T850" s="32"/>
      <c r="U850" s="32"/>
      <c r="V850" s="32"/>
      <c r="W850" s="32"/>
      <c r="X850" s="32"/>
      <c r="Y850" s="32"/>
      <c r="Z850" s="32"/>
    </row>
    <row r="851" spans="1:26" ht="13.5" customHeight="1">
      <c r="A851" s="32"/>
      <c r="B851" s="32"/>
      <c r="C851" s="32"/>
      <c r="D851" s="32"/>
      <c r="E851" s="32"/>
      <c r="F851" s="32"/>
      <c r="G851" s="32"/>
      <c r="H851" s="32"/>
      <c r="I851" s="32"/>
      <c r="J851" s="32"/>
      <c r="K851" s="32"/>
      <c r="L851" s="32"/>
      <c r="M851" s="32"/>
      <c r="N851" s="32"/>
      <c r="O851" s="32"/>
      <c r="P851" s="32"/>
      <c r="Q851" s="32"/>
      <c r="R851" s="32"/>
      <c r="S851" s="32"/>
      <c r="T851" s="32"/>
      <c r="U851" s="32"/>
      <c r="V851" s="32"/>
      <c r="W851" s="32"/>
      <c r="X851" s="32"/>
      <c r="Y851" s="32"/>
      <c r="Z851" s="32"/>
    </row>
    <row r="852" spans="1:26" ht="13.5" customHeight="1">
      <c r="A852" s="32"/>
      <c r="B852" s="32"/>
      <c r="C852" s="32"/>
      <c r="D852" s="32"/>
      <c r="E852" s="32"/>
      <c r="F852" s="32"/>
      <c r="G852" s="32"/>
      <c r="H852" s="32"/>
      <c r="I852" s="32"/>
      <c r="J852" s="32"/>
      <c r="K852" s="32"/>
      <c r="L852" s="32"/>
      <c r="M852" s="32"/>
      <c r="N852" s="32"/>
      <c r="O852" s="32"/>
      <c r="P852" s="32"/>
      <c r="Q852" s="32"/>
      <c r="R852" s="32"/>
      <c r="S852" s="32"/>
      <c r="T852" s="32"/>
      <c r="U852" s="32"/>
      <c r="V852" s="32"/>
      <c r="W852" s="32"/>
      <c r="X852" s="32"/>
      <c r="Y852" s="32"/>
      <c r="Z852" s="32"/>
    </row>
    <row r="853" spans="1:26" ht="13.5" customHeight="1">
      <c r="A853" s="32"/>
      <c r="B853" s="32"/>
      <c r="C853" s="32"/>
      <c r="D853" s="32"/>
      <c r="E853" s="32"/>
      <c r="F853" s="32"/>
      <c r="G853" s="32"/>
      <c r="H853" s="32"/>
      <c r="I853" s="32"/>
      <c r="J853" s="32"/>
      <c r="K853" s="32"/>
      <c r="L853" s="32"/>
      <c r="M853" s="32"/>
      <c r="N853" s="32"/>
      <c r="O853" s="32"/>
      <c r="P853" s="32"/>
      <c r="Q853" s="32"/>
      <c r="R853" s="32"/>
      <c r="S853" s="32"/>
      <c r="T853" s="32"/>
      <c r="U853" s="32"/>
      <c r="V853" s="32"/>
      <c r="W853" s="32"/>
      <c r="X853" s="32"/>
      <c r="Y853" s="32"/>
      <c r="Z853" s="32"/>
    </row>
    <row r="854" spans="1:26" ht="13.5" customHeight="1">
      <c r="A854" s="32"/>
      <c r="B854" s="32"/>
      <c r="C854" s="32"/>
      <c r="D854" s="32"/>
      <c r="E854" s="32"/>
      <c r="F854" s="32"/>
      <c r="G854" s="32"/>
      <c r="H854" s="32"/>
      <c r="I854" s="32"/>
      <c r="J854" s="32"/>
      <c r="K854" s="32"/>
      <c r="L854" s="32"/>
      <c r="M854" s="32"/>
      <c r="N854" s="32"/>
      <c r="O854" s="32"/>
      <c r="P854" s="32"/>
      <c r="Q854" s="32"/>
      <c r="R854" s="32"/>
      <c r="S854" s="32"/>
      <c r="T854" s="32"/>
      <c r="U854" s="32"/>
      <c r="V854" s="32"/>
      <c r="W854" s="32"/>
      <c r="X854" s="32"/>
      <c r="Y854" s="32"/>
      <c r="Z854" s="32"/>
    </row>
    <row r="855" spans="1:26" ht="13.5" customHeight="1">
      <c r="A855" s="32"/>
      <c r="B855" s="32"/>
      <c r="C855" s="32"/>
      <c r="D855" s="32"/>
      <c r="E855" s="32"/>
      <c r="F855" s="32"/>
      <c r="G855" s="32"/>
      <c r="H855" s="32"/>
      <c r="I855" s="32"/>
      <c r="J855" s="32"/>
      <c r="K855" s="32"/>
      <c r="L855" s="32"/>
      <c r="M855" s="32"/>
      <c r="N855" s="32"/>
      <c r="O855" s="32"/>
      <c r="P855" s="32"/>
      <c r="Q855" s="32"/>
      <c r="R855" s="32"/>
      <c r="S855" s="32"/>
      <c r="T855" s="32"/>
      <c r="U855" s="32"/>
      <c r="V855" s="32"/>
      <c r="W855" s="32"/>
      <c r="X855" s="32"/>
      <c r="Y855" s="32"/>
      <c r="Z855" s="32"/>
    </row>
    <row r="856" spans="1:26" ht="13.5" customHeight="1">
      <c r="A856" s="32"/>
      <c r="B856" s="32"/>
      <c r="C856" s="32"/>
      <c r="D856" s="32"/>
      <c r="E856" s="32"/>
      <c r="F856" s="32"/>
      <c r="G856" s="32"/>
      <c r="H856" s="32"/>
      <c r="I856" s="32"/>
      <c r="J856" s="32"/>
      <c r="K856" s="32"/>
      <c r="L856" s="32"/>
      <c r="M856" s="32"/>
      <c r="N856" s="32"/>
      <c r="O856" s="32"/>
      <c r="P856" s="32"/>
      <c r="Q856" s="32"/>
      <c r="R856" s="32"/>
      <c r="S856" s="32"/>
      <c r="T856" s="32"/>
      <c r="U856" s="32"/>
      <c r="V856" s="32"/>
      <c r="W856" s="32"/>
      <c r="X856" s="32"/>
      <c r="Y856" s="32"/>
      <c r="Z856" s="32"/>
    </row>
    <row r="857" spans="1:26" ht="13.5" customHeight="1">
      <c r="A857" s="32"/>
      <c r="B857" s="32"/>
      <c r="C857" s="32"/>
      <c r="D857" s="32"/>
      <c r="E857" s="32"/>
      <c r="F857" s="32"/>
      <c r="G857" s="32"/>
      <c r="H857" s="32"/>
      <c r="I857" s="32"/>
      <c r="J857" s="32"/>
      <c r="K857" s="32"/>
      <c r="L857" s="32"/>
      <c r="M857" s="32"/>
      <c r="N857" s="32"/>
      <c r="O857" s="32"/>
      <c r="P857" s="32"/>
      <c r="Q857" s="32"/>
      <c r="R857" s="32"/>
      <c r="S857" s="32"/>
      <c r="T857" s="32"/>
      <c r="U857" s="32"/>
      <c r="V857" s="32"/>
      <c r="W857" s="32"/>
      <c r="X857" s="32"/>
      <c r="Y857" s="32"/>
      <c r="Z857" s="32"/>
    </row>
    <row r="858" spans="1:26" ht="13.5" customHeight="1">
      <c r="A858" s="32"/>
      <c r="B858" s="32"/>
      <c r="C858" s="32"/>
      <c r="D858" s="32"/>
      <c r="E858" s="32"/>
      <c r="F858" s="32"/>
      <c r="G858" s="32"/>
      <c r="H858" s="32"/>
      <c r="I858" s="32"/>
      <c r="J858" s="32"/>
      <c r="K858" s="32"/>
      <c r="L858" s="32"/>
      <c r="M858" s="32"/>
      <c r="N858" s="32"/>
      <c r="O858" s="32"/>
      <c r="P858" s="32"/>
      <c r="Q858" s="32"/>
      <c r="R858" s="32"/>
      <c r="S858" s="32"/>
      <c r="T858" s="32"/>
      <c r="U858" s="32"/>
      <c r="V858" s="32"/>
      <c r="W858" s="32"/>
      <c r="X858" s="32"/>
      <c r="Y858" s="32"/>
      <c r="Z858" s="32"/>
    </row>
    <row r="859" spans="1:26" ht="13.5" customHeight="1">
      <c r="A859" s="32"/>
      <c r="B859" s="32"/>
      <c r="C859" s="32"/>
      <c r="D859" s="32"/>
      <c r="E859" s="32"/>
      <c r="F859" s="32"/>
      <c r="G859" s="32"/>
      <c r="H859" s="32"/>
      <c r="I859" s="32"/>
      <c r="J859" s="32"/>
      <c r="K859" s="32"/>
      <c r="L859" s="32"/>
      <c r="M859" s="32"/>
      <c r="N859" s="32"/>
      <c r="O859" s="32"/>
      <c r="P859" s="32"/>
      <c r="Q859" s="32"/>
      <c r="R859" s="32"/>
      <c r="S859" s="32"/>
      <c r="T859" s="32"/>
      <c r="U859" s="32"/>
      <c r="V859" s="32"/>
      <c r="W859" s="32"/>
      <c r="X859" s="32"/>
      <c r="Y859" s="32"/>
      <c r="Z859" s="32"/>
    </row>
    <row r="860" spans="1:26" ht="13.5" customHeight="1">
      <c r="A860" s="32"/>
      <c r="B860" s="32"/>
      <c r="C860" s="32"/>
      <c r="D860" s="32"/>
      <c r="E860" s="32"/>
      <c r="F860" s="32"/>
      <c r="G860" s="32"/>
      <c r="H860" s="32"/>
      <c r="I860" s="32"/>
      <c r="J860" s="32"/>
      <c r="K860" s="32"/>
      <c r="L860" s="32"/>
      <c r="M860" s="32"/>
      <c r="N860" s="32"/>
      <c r="O860" s="32"/>
      <c r="P860" s="32"/>
      <c r="Q860" s="32"/>
      <c r="R860" s="32"/>
      <c r="S860" s="32"/>
      <c r="T860" s="32"/>
      <c r="U860" s="32"/>
      <c r="V860" s="32"/>
      <c r="W860" s="32"/>
      <c r="X860" s="32"/>
      <c r="Y860" s="32"/>
      <c r="Z860" s="32"/>
    </row>
    <row r="861" spans="1:26" ht="13.5" customHeight="1">
      <c r="A861" s="32"/>
      <c r="B861" s="32"/>
      <c r="C861" s="32"/>
      <c r="D861" s="32"/>
      <c r="E861" s="32"/>
      <c r="F861" s="32"/>
      <c r="G861" s="32"/>
      <c r="H861" s="32"/>
      <c r="I861" s="32"/>
      <c r="J861" s="32"/>
      <c r="K861" s="32"/>
      <c r="L861" s="32"/>
      <c r="M861" s="32"/>
      <c r="N861" s="32"/>
      <c r="O861" s="32"/>
      <c r="P861" s="32"/>
      <c r="Q861" s="32"/>
      <c r="R861" s="32"/>
      <c r="S861" s="32"/>
      <c r="T861" s="32"/>
      <c r="U861" s="32"/>
      <c r="V861" s="32"/>
      <c r="W861" s="32"/>
      <c r="X861" s="32"/>
      <c r="Y861" s="32"/>
      <c r="Z861" s="32"/>
    </row>
    <row r="862" spans="1:26" ht="13.5" customHeight="1">
      <c r="A862" s="32"/>
      <c r="B862" s="32"/>
      <c r="C862" s="32"/>
      <c r="D862" s="32"/>
      <c r="E862" s="32"/>
      <c r="F862" s="32"/>
      <c r="G862" s="32"/>
      <c r="H862" s="32"/>
      <c r="I862" s="32"/>
      <c r="J862" s="32"/>
      <c r="K862" s="32"/>
      <c r="L862" s="32"/>
      <c r="M862" s="32"/>
      <c r="N862" s="32"/>
      <c r="O862" s="32"/>
      <c r="P862" s="32"/>
      <c r="Q862" s="32"/>
      <c r="R862" s="32"/>
      <c r="S862" s="32"/>
      <c r="T862" s="32"/>
      <c r="U862" s="32"/>
      <c r="V862" s="32"/>
      <c r="W862" s="32"/>
      <c r="X862" s="32"/>
      <c r="Y862" s="32"/>
      <c r="Z862" s="32"/>
    </row>
    <row r="863" spans="1:26" ht="13.5" customHeight="1">
      <c r="A863" s="32"/>
      <c r="B863" s="32"/>
      <c r="C863" s="32"/>
      <c r="D863" s="32"/>
      <c r="E863" s="32"/>
      <c r="F863" s="32"/>
      <c r="G863" s="32"/>
      <c r="H863" s="32"/>
      <c r="I863" s="32"/>
      <c r="J863" s="32"/>
      <c r="K863" s="32"/>
      <c r="L863" s="32"/>
      <c r="M863" s="32"/>
      <c r="N863" s="32"/>
      <c r="O863" s="32"/>
      <c r="P863" s="32"/>
      <c r="Q863" s="32"/>
      <c r="R863" s="32"/>
      <c r="S863" s="32"/>
      <c r="T863" s="32"/>
      <c r="U863" s="32"/>
      <c r="V863" s="32"/>
      <c r="W863" s="32"/>
      <c r="X863" s="32"/>
      <c r="Y863" s="32"/>
      <c r="Z863" s="32"/>
    </row>
    <row r="864" spans="1:26" ht="13.5" customHeight="1">
      <c r="A864" s="32"/>
      <c r="B864" s="32"/>
      <c r="C864" s="32"/>
      <c r="D864" s="32"/>
      <c r="E864" s="32"/>
      <c r="F864" s="32"/>
      <c r="G864" s="32"/>
      <c r="H864" s="32"/>
      <c r="I864" s="32"/>
      <c r="J864" s="32"/>
      <c r="K864" s="32"/>
      <c r="L864" s="32"/>
      <c r="M864" s="32"/>
      <c r="N864" s="32"/>
      <c r="O864" s="32"/>
      <c r="P864" s="32"/>
      <c r="Q864" s="32"/>
      <c r="R864" s="32"/>
      <c r="S864" s="32"/>
      <c r="T864" s="32"/>
      <c r="U864" s="32"/>
      <c r="V864" s="32"/>
      <c r="W864" s="32"/>
      <c r="X864" s="32"/>
      <c r="Y864" s="32"/>
      <c r="Z864" s="32"/>
    </row>
    <row r="865" spans="1:26" ht="13.5" customHeight="1">
      <c r="A865" s="32"/>
      <c r="B865" s="32"/>
      <c r="C865" s="32"/>
      <c r="D865" s="32"/>
      <c r="E865" s="32"/>
      <c r="F865" s="32"/>
      <c r="G865" s="32"/>
      <c r="H865" s="32"/>
      <c r="I865" s="32"/>
      <c r="J865" s="32"/>
      <c r="K865" s="32"/>
      <c r="L865" s="32"/>
      <c r="M865" s="32"/>
      <c r="N865" s="32"/>
      <c r="O865" s="32"/>
      <c r="P865" s="32"/>
      <c r="Q865" s="32"/>
      <c r="R865" s="32"/>
      <c r="S865" s="32"/>
      <c r="T865" s="32"/>
      <c r="U865" s="32"/>
      <c r="V865" s="32"/>
      <c r="W865" s="32"/>
      <c r="X865" s="32"/>
      <c r="Y865" s="32"/>
      <c r="Z865" s="32"/>
    </row>
    <row r="866" spans="1:26" ht="13.5" customHeight="1">
      <c r="A866" s="32"/>
      <c r="B866" s="32"/>
      <c r="C866" s="32"/>
      <c r="D866" s="32"/>
      <c r="E866" s="32"/>
      <c r="F866" s="32"/>
      <c r="G866" s="32"/>
      <c r="H866" s="32"/>
      <c r="I866" s="32"/>
      <c r="J866" s="32"/>
      <c r="K866" s="32"/>
      <c r="L866" s="32"/>
      <c r="M866" s="32"/>
      <c r="N866" s="32"/>
      <c r="O866" s="32"/>
      <c r="P866" s="32"/>
      <c r="Q866" s="32"/>
      <c r="R866" s="32"/>
      <c r="S866" s="32"/>
      <c r="T866" s="32"/>
      <c r="U866" s="32"/>
      <c r="V866" s="32"/>
      <c r="W866" s="32"/>
      <c r="X866" s="32"/>
      <c r="Y866" s="32"/>
      <c r="Z866" s="32"/>
    </row>
    <row r="867" spans="1:26" ht="13.5" customHeight="1">
      <c r="A867" s="32"/>
      <c r="B867" s="32"/>
      <c r="C867" s="32"/>
      <c r="D867" s="32"/>
      <c r="E867" s="32"/>
      <c r="F867" s="32"/>
      <c r="G867" s="32"/>
      <c r="H867" s="32"/>
      <c r="I867" s="32"/>
      <c r="J867" s="32"/>
      <c r="K867" s="32"/>
      <c r="L867" s="32"/>
      <c r="M867" s="32"/>
      <c r="N867" s="32"/>
      <c r="O867" s="32"/>
      <c r="P867" s="32"/>
      <c r="Q867" s="32"/>
      <c r="R867" s="32"/>
      <c r="S867" s="32"/>
      <c r="T867" s="32"/>
      <c r="U867" s="32"/>
      <c r="V867" s="32"/>
      <c r="W867" s="32"/>
      <c r="X867" s="32"/>
      <c r="Y867" s="32"/>
      <c r="Z867" s="32"/>
    </row>
    <row r="868" spans="1:26" ht="13.5" customHeight="1">
      <c r="A868" s="32"/>
      <c r="B868" s="32"/>
      <c r="C868" s="32"/>
      <c r="D868" s="32"/>
      <c r="E868" s="32"/>
      <c r="F868" s="32"/>
      <c r="G868" s="32"/>
      <c r="H868" s="32"/>
      <c r="I868" s="32"/>
      <c r="J868" s="32"/>
      <c r="K868" s="32"/>
      <c r="L868" s="32"/>
      <c r="M868" s="32"/>
      <c r="N868" s="32"/>
      <c r="O868" s="32"/>
      <c r="P868" s="32"/>
      <c r="Q868" s="32"/>
      <c r="R868" s="32"/>
      <c r="S868" s="32"/>
      <c r="T868" s="32"/>
      <c r="U868" s="32"/>
      <c r="V868" s="32"/>
      <c r="W868" s="32"/>
      <c r="X868" s="32"/>
      <c r="Y868" s="32"/>
      <c r="Z868" s="32"/>
    </row>
    <row r="869" spans="1:26" ht="13.5" customHeight="1">
      <c r="A869" s="32"/>
      <c r="B869" s="32"/>
      <c r="C869" s="32"/>
      <c r="D869" s="32"/>
      <c r="E869" s="32"/>
      <c r="F869" s="32"/>
      <c r="G869" s="32"/>
      <c r="H869" s="32"/>
      <c r="I869" s="32"/>
      <c r="J869" s="32"/>
      <c r="K869" s="32"/>
      <c r="L869" s="32"/>
      <c r="M869" s="32"/>
      <c r="N869" s="32"/>
      <c r="O869" s="32"/>
      <c r="P869" s="32"/>
      <c r="Q869" s="32"/>
      <c r="R869" s="32"/>
      <c r="S869" s="32"/>
      <c r="T869" s="32"/>
      <c r="U869" s="32"/>
      <c r="V869" s="32"/>
      <c r="W869" s="32"/>
      <c r="X869" s="32"/>
      <c r="Y869" s="32"/>
      <c r="Z869" s="32"/>
    </row>
    <row r="870" spans="1:26" ht="13.5" customHeight="1">
      <c r="A870" s="32"/>
      <c r="B870" s="32"/>
      <c r="C870" s="32"/>
      <c r="D870" s="32"/>
      <c r="E870" s="32"/>
      <c r="F870" s="32"/>
      <c r="G870" s="32"/>
      <c r="H870" s="32"/>
      <c r="I870" s="32"/>
      <c r="J870" s="32"/>
      <c r="K870" s="32"/>
      <c r="L870" s="32"/>
      <c r="M870" s="32"/>
      <c r="N870" s="32"/>
      <c r="O870" s="32"/>
      <c r="P870" s="32"/>
      <c r="Q870" s="32"/>
      <c r="R870" s="32"/>
      <c r="S870" s="32"/>
      <c r="T870" s="32"/>
      <c r="U870" s="32"/>
      <c r="V870" s="32"/>
      <c r="W870" s="32"/>
      <c r="X870" s="32"/>
      <c r="Y870" s="32"/>
      <c r="Z870" s="32"/>
    </row>
    <row r="871" spans="1:26" ht="13.5" customHeight="1">
      <c r="A871" s="32"/>
      <c r="B871" s="32"/>
      <c r="C871" s="32"/>
      <c r="D871" s="32"/>
      <c r="E871" s="32"/>
      <c r="F871" s="32"/>
      <c r="G871" s="32"/>
      <c r="H871" s="32"/>
      <c r="I871" s="32"/>
      <c r="J871" s="32"/>
      <c r="K871" s="32"/>
      <c r="L871" s="32"/>
      <c r="M871" s="32"/>
      <c r="N871" s="32"/>
      <c r="O871" s="32"/>
      <c r="P871" s="32"/>
      <c r="Q871" s="32"/>
      <c r="R871" s="32"/>
      <c r="S871" s="32"/>
      <c r="T871" s="32"/>
      <c r="U871" s="32"/>
      <c r="V871" s="32"/>
      <c r="W871" s="32"/>
      <c r="X871" s="32"/>
      <c r="Y871" s="32"/>
      <c r="Z871" s="32"/>
    </row>
    <row r="872" spans="1:26" ht="13.5" customHeight="1">
      <c r="A872" s="32"/>
      <c r="B872" s="32"/>
      <c r="C872" s="32"/>
      <c r="D872" s="32"/>
      <c r="E872" s="32"/>
      <c r="F872" s="32"/>
      <c r="G872" s="32"/>
      <c r="H872" s="32"/>
      <c r="I872" s="32"/>
      <c r="J872" s="32"/>
      <c r="K872" s="32"/>
      <c r="L872" s="32"/>
      <c r="M872" s="32"/>
      <c r="N872" s="32"/>
      <c r="O872" s="32"/>
      <c r="P872" s="32"/>
      <c r="Q872" s="32"/>
      <c r="R872" s="32"/>
      <c r="S872" s="32"/>
      <c r="T872" s="32"/>
      <c r="U872" s="32"/>
      <c r="V872" s="32"/>
      <c r="W872" s="32"/>
      <c r="X872" s="32"/>
      <c r="Y872" s="32"/>
      <c r="Z872" s="32"/>
    </row>
    <row r="873" spans="1:26" ht="13.5" customHeight="1">
      <c r="A873" s="32"/>
      <c r="B873" s="32"/>
      <c r="C873" s="32"/>
      <c r="D873" s="32"/>
      <c r="E873" s="32"/>
      <c r="F873" s="32"/>
      <c r="G873" s="32"/>
      <c r="H873" s="32"/>
      <c r="I873" s="32"/>
      <c r="J873" s="32"/>
      <c r="K873" s="32"/>
      <c r="L873" s="32"/>
      <c r="M873" s="32"/>
      <c r="N873" s="32"/>
      <c r="O873" s="32"/>
      <c r="P873" s="32"/>
      <c r="Q873" s="32"/>
      <c r="R873" s="32"/>
      <c r="S873" s="32"/>
      <c r="T873" s="32"/>
      <c r="U873" s="32"/>
      <c r="V873" s="32"/>
      <c r="W873" s="32"/>
      <c r="X873" s="32"/>
      <c r="Y873" s="32"/>
      <c r="Z873" s="32"/>
    </row>
    <row r="874" spans="1:26" ht="13.5" customHeight="1">
      <c r="A874" s="32"/>
      <c r="B874" s="32"/>
      <c r="C874" s="32"/>
      <c r="D874" s="32"/>
      <c r="E874" s="32"/>
      <c r="F874" s="32"/>
      <c r="G874" s="32"/>
      <c r="H874" s="32"/>
      <c r="I874" s="32"/>
      <c r="J874" s="32"/>
      <c r="K874" s="32"/>
      <c r="L874" s="32"/>
      <c r="M874" s="32"/>
      <c r="N874" s="32"/>
      <c r="O874" s="32"/>
      <c r="P874" s="32"/>
      <c r="Q874" s="32"/>
      <c r="R874" s="32"/>
      <c r="S874" s="32"/>
      <c r="T874" s="32"/>
      <c r="U874" s="32"/>
      <c r="V874" s="32"/>
      <c r="W874" s="32"/>
      <c r="X874" s="32"/>
      <c r="Y874" s="32"/>
      <c r="Z874" s="32"/>
    </row>
    <row r="875" spans="1:26" ht="13.5" customHeight="1">
      <c r="A875" s="32"/>
      <c r="B875" s="32"/>
      <c r="C875" s="32"/>
      <c r="D875" s="32"/>
      <c r="E875" s="32"/>
      <c r="F875" s="32"/>
      <c r="G875" s="32"/>
      <c r="H875" s="32"/>
      <c r="I875" s="32"/>
      <c r="J875" s="32"/>
      <c r="K875" s="32"/>
      <c r="L875" s="32"/>
      <c r="M875" s="32"/>
      <c r="N875" s="32"/>
      <c r="O875" s="32"/>
      <c r="P875" s="32"/>
      <c r="Q875" s="32"/>
      <c r="R875" s="32"/>
      <c r="S875" s="32"/>
      <c r="T875" s="32"/>
      <c r="U875" s="32"/>
      <c r="V875" s="32"/>
      <c r="W875" s="32"/>
      <c r="X875" s="32"/>
      <c r="Y875" s="32"/>
      <c r="Z875" s="32"/>
    </row>
    <row r="876" spans="1:26" ht="13.5" customHeight="1">
      <c r="A876" s="32"/>
      <c r="B876" s="32"/>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row>
    <row r="877" spans="1:26" ht="13.5" customHeight="1">
      <c r="A877" s="32"/>
      <c r="B877" s="32"/>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row>
    <row r="878" spans="1:26" ht="13.5" customHeight="1">
      <c r="A878" s="32"/>
      <c r="B878" s="32"/>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row>
    <row r="879" spans="1:26" ht="13.5" customHeight="1">
      <c r="A879" s="32"/>
      <c r="B879" s="32"/>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row>
    <row r="880" spans="1:26" ht="13.5" customHeight="1">
      <c r="A880" s="32"/>
      <c r="B880" s="32"/>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row>
    <row r="881" spans="1:26" ht="13.5" customHeight="1">
      <c r="A881" s="32"/>
      <c r="B881" s="32"/>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row>
    <row r="882" spans="1:26" ht="13.5" customHeight="1">
      <c r="A882" s="32"/>
      <c r="B882" s="32"/>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row>
    <row r="883" spans="1:26" ht="13.5" customHeight="1">
      <c r="A883" s="32"/>
      <c r="B883" s="32"/>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row>
    <row r="884" spans="1:26" ht="13.5" customHeight="1">
      <c r="A884" s="32"/>
      <c r="B884" s="32"/>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row>
    <row r="885" spans="1:26" ht="13.5" customHeight="1">
      <c r="A885" s="32"/>
      <c r="B885" s="32"/>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row>
    <row r="886" spans="1:26" ht="13.5" customHeight="1">
      <c r="A886" s="32"/>
      <c r="B886" s="32"/>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row>
    <row r="887" spans="1:26" ht="13.5" customHeight="1">
      <c r="A887" s="32"/>
      <c r="B887" s="32"/>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row>
    <row r="888" spans="1:26" ht="13.5" customHeight="1">
      <c r="A888" s="32"/>
      <c r="B888" s="32"/>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row>
    <row r="889" spans="1:26" ht="13.5" customHeight="1">
      <c r="A889" s="32"/>
      <c r="B889" s="32"/>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row>
    <row r="890" spans="1:26" ht="13.5" customHeight="1">
      <c r="A890" s="32"/>
      <c r="B890" s="32"/>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row>
    <row r="891" spans="1:26" ht="13.5" customHeight="1">
      <c r="A891" s="32"/>
      <c r="B891" s="32"/>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row>
    <row r="892" spans="1:26" ht="13.5" customHeight="1">
      <c r="A892" s="32"/>
      <c r="B892" s="32"/>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row>
    <row r="893" spans="1:26" ht="13.5" customHeight="1">
      <c r="A893" s="32"/>
      <c r="B893" s="32"/>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row>
    <row r="894" spans="1:26" ht="13.5" customHeight="1">
      <c r="A894" s="32"/>
      <c r="B894" s="32"/>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row>
    <row r="895" spans="1:26" ht="13.5" customHeight="1">
      <c r="A895" s="32"/>
      <c r="B895" s="32"/>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row>
    <row r="896" spans="1:26" ht="13.5" customHeight="1">
      <c r="A896" s="32"/>
      <c r="B896" s="32"/>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row>
    <row r="897" spans="1:26" ht="13.5" customHeight="1">
      <c r="A897" s="32"/>
      <c r="B897" s="32"/>
      <c r="C897" s="32"/>
      <c r="D897" s="32"/>
      <c r="E897" s="32"/>
      <c r="F897" s="32"/>
      <c r="G897" s="32"/>
      <c r="H897" s="32"/>
      <c r="I897" s="32"/>
      <c r="J897" s="32"/>
      <c r="K897" s="32"/>
      <c r="L897" s="32"/>
      <c r="M897" s="32"/>
      <c r="N897" s="32"/>
      <c r="O897" s="32"/>
      <c r="P897" s="32"/>
      <c r="Q897" s="32"/>
      <c r="R897" s="32"/>
      <c r="S897" s="32"/>
      <c r="T897" s="32"/>
      <c r="U897" s="32"/>
      <c r="V897" s="32"/>
      <c r="W897" s="32"/>
      <c r="X897" s="32"/>
      <c r="Y897" s="32"/>
      <c r="Z897" s="32"/>
    </row>
    <row r="898" spans="1:26" ht="13.5" customHeight="1">
      <c r="A898" s="32"/>
      <c r="B898" s="32"/>
      <c r="C898" s="32"/>
      <c r="D898" s="32"/>
      <c r="E898" s="32"/>
      <c r="F898" s="32"/>
      <c r="G898" s="32"/>
      <c r="H898" s="32"/>
      <c r="I898" s="32"/>
      <c r="J898" s="32"/>
      <c r="K898" s="32"/>
      <c r="L898" s="32"/>
      <c r="M898" s="32"/>
      <c r="N898" s="32"/>
      <c r="O898" s="32"/>
      <c r="P898" s="32"/>
      <c r="Q898" s="32"/>
      <c r="R898" s="32"/>
      <c r="S898" s="32"/>
      <c r="T898" s="32"/>
      <c r="U898" s="32"/>
      <c r="V898" s="32"/>
      <c r="W898" s="32"/>
      <c r="X898" s="32"/>
      <c r="Y898" s="32"/>
      <c r="Z898" s="32"/>
    </row>
    <row r="899" spans="1:26" ht="13.5" customHeight="1">
      <c r="A899" s="32"/>
      <c r="B899" s="32"/>
      <c r="C899" s="32"/>
      <c r="D899" s="32"/>
      <c r="E899" s="32"/>
      <c r="F899" s="32"/>
      <c r="G899" s="32"/>
      <c r="H899" s="32"/>
      <c r="I899" s="32"/>
      <c r="J899" s="32"/>
      <c r="K899" s="32"/>
      <c r="L899" s="32"/>
      <c r="M899" s="32"/>
      <c r="N899" s="32"/>
      <c r="O899" s="32"/>
      <c r="P899" s="32"/>
      <c r="Q899" s="32"/>
      <c r="R899" s="32"/>
      <c r="S899" s="32"/>
      <c r="T899" s="32"/>
      <c r="U899" s="32"/>
      <c r="V899" s="32"/>
      <c r="W899" s="32"/>
      <c r="X899" s="32"/>
      <c r="Y899" s="32"/>
      <c r="Z899" s="32"/>
    </row>
    <row r="900" spans="1:26" ht="13.5" customHeight="1">
      <c r="A900" s="32"/>
      <c r="B900" s="32"/>
      <c r="C900" s="32"/>
      <c r="D900" s="32"/>
      <c r="E900" s="32"/>
      <c r="F900" s="32"/>
      <c r="G900" s="32"/>
      <c r="H900" s="32"/>
      <c r="I900" s="32"/>
      <c r="J900" s="32"/>
      <c r="K900" s="32"/>
      <c r="L900" s="32"/>
      <c r="M900" s="32"/>
      <c r="N900" s="32"/>
      <c r="O900" s="32"/>
      <c r="P900" s="32"/>
      <c r="Q900" s="32"/>
      <c r="R900" s="32"/>
      <c r="S900" s="32"/>
      <c r="T900" s="32"/>
      <c r="U900" s="32"/>
      <c r="V900" s="32"/>
      <c r="W900" s="32"/>
      <c r="X900" s="32"/>
      <c r="Y900" s="32"/>
      <c r="Z900" s="32"/>
    </row>
    <row r="901" spans="1:26" ht="13.5" customHeight="1">
      <c r="A901" s="32"/>
      <c r="B901" s="32"/>
      <c r="C901" s="32"/>
      <c r="D901" s="32"/>
      <c r="E901" s="32"/>
      <c r="F901" s="32"/>
      <c r="G901" s="32"/>
      <c r="H901" s="32"/>
      <c r="I901" s="32"/>
      <c r="J901" s="32"/>
      <c r="K901" s="32"/>
      <c r="L901" s="32"/>
      <c r="M901" s="32"/>
      <c r="N901" s="32"/>
      <c r="O901" s="32"/>
      <c r="P901" s="32"/>
      <c r="Q901" s="32"/>
      <c r="R901" s="32"/>
      <c r="S901" s="32"/>
      <c r="T901" s="32"/>
      <c r="U901" s="32"/>
      <c r="V901" s="32"/>
      <c r="W901" s="32"/>
      <c r="X901" s="32"/>
      <c r="Y901" s="32"/>
      <c r="Z901" s="32"/>
    </row>
    <row r="902" spans="1:26" ht="13.5" customHeight="1">
      <c r="A902" s="32"/>
      <c r="B902" s="32"/>
      <c r="C902" s="32"/>
      <c r="D902" s="32"/>
      <c r="E902" s="32"/>
      <c r="F902" s="32"/>
      <c r="G902" s="32"/>
      <c r="H902" s="32"/>
      <c r="I902" s="32"/>
      <c r="J902" s="32"/>
      <c r="K902" s="32"/>
      <c r="L902" s="32"/>
      <c r="M902" s="32"/>
      <c r="N902" s="32"/>
      <c r="O902" s="32"/>
      <c r="P902" s="32"/>
      <c r="Q902" s="32"/>
      <c r="R902" s="32"/>
      <c r="S902" s="32"/>
      <c r="T902" s="32"/>
      <c r="U902" s="32"/>
      <c r="V902" s="32"/>
      <c r="W902" s="32"/>
      <c r="X902" s="32"/>
      <c r="Y902" s="32"/>
      <c r="Z902" s="32"/>
    </row>
    <row r="903" spans="1:26" ht="13.5" customHeight="1">
      <c r="A903" s="32"/>
      <c r="B903" s="32"/>
      <c r="C903" s="32"/>
      <c r="D903" s="32"/>
      <c r="E903" s="32"/>
      <c r="F903" s="32"/>
      <c r="G903" s="32"/>
      <c r="H903" s="32"/>
      <c r="I903" s="32"/>
      <c r="J903" s="32"/>
      <c r="K903" s="32"/>
      <c r="L903" s="32"/>
      <c r="M903" s="32"/>
      <c r="N903" s="32"/>
      <c r="O903" s="32"/>
      <c r="P903" s="32"/>
      <c r="Q903" s="32"/>
      <c r="R903" s="32"/>
      <c r="S903" s="32"/>
      <c r="T903" s="32"/>
      <c r="U903" s="32"/>
      <c r="V903" s="32"/>
      <c r="W903" s="32"/>
      <c r="X903" s="32"/>
      <c r="Y903" s="32"/>
      <c r="Z903" s="32"/>
    </row>
    <row r="904" spans="1:26" ht="13.5" customHeight="1">
      <c r="A904" s="32"/>
      <c r="B904" s="32"/>
      <c r="C904" s="32"/>
      <c r="D904" s="32"/>
      <c r="E904" s="32"/>
      <c r="F904" s="32"/>
      <c r="G904" s="32"/>
      <c r="H904" s="32"/>
      <c r="I904" s="32"/>
      <c r="J904" s="32"/>
      <c r="K904" s="32"/>
      <c r="L904" s="32"/>
      <c r="M904" s="32"/>
      <c r="N904" s="32"/>
      <c r="O904" s="32"/>
      <c r="P904" s="32"/>
      <c r="Q904" s="32"/>
      <c r="R904" s="32"/>
      <c r="S904" s="32"/>
      <c r="T904" s="32"/>
      <c r="U904" s="32"/>
      <c r="V904" s="32"/>
      <c r="W904" s="32"/>
      <c r="X904" s="32"/>
      <c r="Y904" s="32"/>
      <c r="Z904" s="32"/>
    </row>
    <row r="905" spans="1:26" ht="13.5" customHeight="1">
      <c r="A905" s="32"/>
      <c r="B905" s="32"/>
      <c r="C905" s="32"/>
      <c r="D905" s="32"/>
      <c r="E905" s="32"/>
      <c r="F905" s="32"/>
      <c r="G905" s="32"/>
      <c r="H905" s="32"/>
      <c r="I905" s="32"/>
      <c r="J905" s="32"/>
      <c r="K905" s="32"/>
      <c r="L905" s="32"/>
      <c r="M905" s="32"/>
      <c r="N905" s="32"/>
      <c r="O905" s="32"/>
      <c r="P905" s="32"/>
      <c r="Q905" s="32"/>
      <c r="R905" s="32"/>
      <c r="S905" s="32"/>
      <c r="T905" s="32"/>
      <c r="U905" s="32"/>
      <c r="V905" s="32"/>
      <c r="W905" s="32"/>
      <c r="X905" s="32"/>
      <c r="Y905" s="32"/>
      <c r="Z905" s="32"/>
    </row>
    <row r="906" spans="1:26" ht="13.5" customHeight="1">
      <c r="A906" s="32"/>
      <c r="B906" s="32"/>
      <c r="C906" s="32"/>
      <c r="D906" s="32"/>
      <c r="E906" s="32"/>
      <c r="F906" s="32"/>
      <c r="G906" s="32"/>
      <c r="H906" s="32"/>
      <c r="I906" s="32"/>
      <c r="J906" s="32"/>
      <c r="K906" s="32"/>
      <c r="L906" s="32"/>
      <c r="M906" s="32"/>
      <c r="N906" s="32"/>
      <c r="O906" s="32"/>
      <c r="P906" s="32"/>
      <c r="Q906" s="32"/>
      <c r="R906" s="32"/>
      <c r="S906" s="32"/>
      <c r="T906" s="32"/>
      <c r="U906" s="32"/>
      <c r="V906" s="32"/>
      <c r="W906" s="32"/>
      <c r="X906" s="32"/>
      <c r="Y906" s="32"/>
      <c r="Z906" s="32"/>
    </row>
    <row r="907" spans="1:26" ht="13.5" customHeight="1">
      <c r="A907" s="32"/>
      <c r="B907" s="32"/>
      <c r="C907" s="32"/>
      <c r="D907" s="32"/>
      <c r="E907" s="32"/>
      <c r="F907" s="32"/>
      <c r="G907" s="32"/>
      <c r="H907" s="32"/>
      <c r="I907" s="32"/>
      <c r="J907" s="32"/>
      <c r="K907" s="32"/>
      <c r="L907" s="32"/>
      <c r="M907" s="32"/>
      <c r="N907" s="32"/>
      <c r="O907" s="32"/>
      <c r="P907" s="32"/>
      <c r="Q907" s="32"/>
      <c r="R907" s="32"/>
      <c r="S907" s="32"/>
      <c r="T907" s="32"/>
      <c r="U907" s="32"/>
      <c r="V907" s="32"/>
      <c r="W907" s="32"/>
      <c r="X907" s="32"/>
      <c r="Y907" s="32"/>
      <c r="Z907" s="32"/>
    </row>
    <row r="908" spans="1:26" ht="13.5" customHeight="1">
      <c r="A908" s="32"/>
      <c r="B908" s="32"/>
      <c r="C908" s="32"/>
      <c r="D908" s="32"/>
      <c r="E908" s="32"/>
      <c r="F908" s="32"/>
      <c r="G908" s="32"/>
      <c r="H908" s="32"/>
      <c r="I908" s="32"/>
      <c r="J908" s="32"/>
      <c r="K908" s="32"/>
      <c r="L908" s="32"/>
      <c r="M908" s="32"/>
      <c r="N908" s="32"/>
      <c r="O908" s="32"/>
      <c r="P908" s="32"/>
      <c r="Q908" s="32"/>
      <c r="R908" s="32"/>
      <c r="S908" s="32"/>
      <c r="T908" s="32"/>
      <c r="U908" s="32"/>
      <c r="V908" s="32"/>
      <c r="W908" s="32"/>
      <c r="X908" s="32"/>
      <c r="Y908" s="32"/>
      <c r="Z908" s="32"/>
    </row>
    <row r="909" spans="1:26" ht="13.5" customHeight="1">
      <c r="A909" s="32"/>
      <c r="B909" s="32"/>
      <c r="C909" s="32"/>
      <c r="D909" s="32"/>
      <c r="E909" s="32"/>
      <c r="F909" s="32"/>
      <c r="G909" s="32"/>
      <c r="H909" s="32"/>
      <c r="I909" s="32"/>
      <c r="J909" s="32"/>
      <c r="K909" s="32"/>
      <c r="L909" s="32"/>
      <c r="M909" s="32"/>
      <c r="N909" s="32"/>
      <c r="O909" s="32"/>
      <c r="P909" s="32"/>
      <c r="Q909" s="32"/>
      <c r="R909" s="32"/>
      <c r="S909" s="32"/>
      <c r="T909" s="32"/>
      <c r="U909" s="32"/>
      <c r="V909" s="32"/>
      <c r="W909" s="32"/>
      <c r="X909" s="32"/>
      <c r="Y909" s="32"/>
      <c r="Z909" s="32"/>
    </row>
    <row r="910" spans="1:26" ht="13.5" customHeight="1">
      <c r="A910" s="32"/>
      <c r="B910" s="32"/>
      <c r="C910" s="32"/>
      <c r="D910" s="32"/>
      <c r="E910" s="32"/>
      <c r="F910" s="32"/>
      <c r="G910" s="32"/>
      <c r="H910" s="32"/>
      <c r="I910" s="32"/>
      <c r="J910" s="32"/>
      <c r="K910" s="32"/>
      <c r="L910" s="32"/>
      <c r="M910" s="32"/>
      <c r="N910" s="32"/>
      <c r="O910" s="32"/>
      <c r="P910" s="32"/>
      <c r="Q910" s="32"/>
      <c r="R910" s="32"/>
      <c r="S910" s="32"/>
      <c r="T910" s="32"/>
      <c r="U910" s="32"/>
      <c r="V910" s="32"/>
      <c r="W910" s="32"/>
      <c r="X910" s="32"/>
      <c r="Y910" s="32"/>
      <c r="Z910" s="32"/>
    </row>
    <row r="911" spans="1:26" ht="13.5" customHeight="1">
      <c r="A911" s="32"/>
      <c r="B911" s="32"/>
      <c r="C911" s="32"/>
      <c r="D911" s="32"/>
      <c r="E911" s="32"/>
      <c r="F911" s="32"/>
      <c r="G911" s="32"/>
      <c r="H911" s="32"/>
      <c r="I911" s="32"/>
      <c r="J911" s="32"/>
      <c r="K911" s="32"/>
      <c r="L911" s="32"/>
      <c r="M911" s="32"/>
      <c r="N911" s="32"/>
      <c r="O911" s="32"/>
      <c r="P911" s="32"/>
      <c r="Q911" s="32"/>
      <c r="R911" s="32"/>
      <c r="S911" s="32"/>
      <c r="T911" s="32"/>
      <c r="U911" s="32"/>
      <c r="V911" s="32"/>
      <c r="W911" s="32"/>
      <c r="X911" s="32"/>
      <c r="Y911" s="32"/>
      <c r="Z911" s="32"/>
    </row>
    <row r="912" spans="1:26" ht="13.5" customHeight="1">
      <c r="A912" s="32"/>
      <c r="B912" s="32"/>
      <c r="C912" s="32"/>
      <c r="D912" s="32"/>
      <c r="E912" s="32"/>
      <c r="F912" s="32"/>
      <c r="G912" s="32"/>
      <c r="H912" s="32"/>
      <c r="I912" s="32"/>
      <c r="J912" s="32"/>
      <c r="K912" s="32"/>
      <c r="L912" s="32"/>
      <c r="M912" s="32"/>
      <c r="N912" s="32"/>
      <c r="O912" s="32"/>
      <c r="P912" s="32"/>
      <c r="Q912" s="32"/>
      <c r="R912" s="32"/>
      <c r="S912" s="32"/>
      <c r="T912" s="32"/>
      <c r="U912" s="32"/>
      <c r="V912" s="32"/>
      <c r="W912" s="32"/>
      <c r="X912" s="32"/>
      <c r="Y912" s="32"/>
      <c r="Z912" s="32"/>
    </row>
    <row r="913" spans="1:26" ht="13.5" customHeight="1">
      <c r="A913" s="32"/>
      <c r="B913" s="32"/>
      <c r="C913" s="32"/>
      <c r="D913" s="32"/>
      <c r="E913" s="32"/>
      <c r="F913" s="32"/>
      <c r="G913" s="32"/>
      <c r="H913" s="32"/>
      <c r="I913" s="32"/>
      <c r="J913" s="32"/>
      <c r="K913" s="32"/>
      <c r="L913" s="32"/>
      <c r="M913" s="32"/>
      <c r="N913" s="32"/>
      <c r="O913" s="32"/>
      <c r="P913" s="32"/>
      <c r="Q913" s="32"/>
      <c r="R913" s="32"/>
      <c r="S913" s="32"/>
      <c r="T913" s="32"/>
      <c r="U913" s="32"/>
      <c r="V913" s="32"/>
      <c r="W913" s="32"/>
      <c r="X913" s="32"/>
      <c r="Y913" s="32"/>
      <c r="Z913" s="32"/>
    </row>
    <row r="914" spans="1:26" ht="13.5" customHeight="1">
      <c r="A914" s="32"/>
      <c r="B914" s="32"/>
      <c r="C914" s="32"/>
      <c r="D914" s="32"/>
      <c r="E914" s="32"/>
      <c r="F914" s="32"/>
      <c r="G914" s="32"/>
      <c r="H914" s="32"/>
      <c r="I914" s="32"/>
      <c r="J914" s="32"/>
      <c r="K914" s="32"/>
      <c r="L914" s="32"/>
      <c r="M914" s="32"/>
      <c r="N914" s="32"/>
      <c r="O914" s="32"/>
      <c r="P914" s="32"/>
      <c r="Q914" s="32"/>
      <c r="R914" s="32"/>
      <c r="S914" s="32"/>
      <c r="T914" s="32"/>
      <c r="U914" s="32"/>
      <c r="V914" s="32"/>
      <c r="W914" s="32"/>
      <c r="X914" s="32"/>
      <c r="Y914" s="32"/>
      <c r="Z914" s="32"/>
    </row>
    <row r="915" spans="1:26" ht="13.5" customHeight="1">
      <c r="A915" s="32"/>
      <c r="B915" s="32"/>
      <c r="C915" s="32"/>
      <c r="D915" s="32"/>
      <c r="E915" s="32"/>
      <c r="F915" s="32"/>
      <c r="G915" s="32"/>
      <c r="H915" s="32"/>
      <c r="I915" s="32"/>
      <c r="J915" s="32"/>
      <c r="K915" s="32"/>
      <c r="L915" s="32"/>
      <c r="M915" s="32"/>
      <c r="N915" s="32"/>
      <c r="O915" s="32"/>
      <c r="P915" s="32"/>
      <c r="Q915" s="32"/>
      <c r="R915" s="32"/>
      <c r="S915" s="32"/>
      <c r="T915" s="32"/>
      <c r="U915" s="32"/>
      <c r="V915" s="32"/>
      <c r="W915" s="32"/>
      <c r="X915" s="32"/>
      <c r="Y915" s="32"/>
      <c r="Z915" s="32"/>
    </row>
    <row r="916" spans="1:26" ht="13.5" customHeight="1">
      <c r="A916" s="32"/>
      <c r="B916" s="32"/>
      <c r="C916" s="32"/>
      <c r="D916" s="32"/>
      <c r="E916" s="32"/>
      <c r="F916" s="32"/>
      <c r="G916" s="32"/>
      <c r="H916" s="32"/>
      <c r="I916" s="32"/>
      <c r="J916" s="32"/>
      <c r="K916" s="32"/>
      <c r="L916" s="32"/>
      <c r="M916" s="32"/>
      <c r="N916" s="32"/>
      <c r="O916" s="32"/>
      <c r="P916" s="32"/>
      <c r="Q916" s="32"/>
      <c r="R916" s="32"/>
      <c r="S916" s="32"/>
      <c r="T916" s="32"/>
      <c r="U916" s="32"/>
      <c r="V916" s="32"/>
      <c r="W916" s="32"/>
      <c r="X916" s="32"/>
      <c r="Y916" s="32"/>
      <c r="Z916" s="32"/>
    </row>
    <row r="917" spans="1:26" ht="13.5" customHeight="1">
      <c r="A917" s="32"/>
      <c r="B917" s="32"/>
      <c r="C917" s="32"/>
      <c r="D917" s="32"/>
      <c r="E917" s="32"/>
      <c r="F917" s="32"/>
      <c r="G917" s="32"/>
      <c r="H917" s="32"/>
      <c r="I917" s="32"/>
      <c r="J917" s="32"/>
      <c r="K917" s="32"/>
      <c r="L917" s="32"/>
      <c r="M917" s="32"/>
      <c r="N917" s="32"/>
      <c r="O917" s="32"/>
      <c r="P917" s="32"/>
      <c r="Q917" s="32"/>
      <c r="R917" s="32"/>
      <c r="S917" s="32"/>
      <c r="T917" s="32"/>
      <c r="U917" s="32"/>
      <c r="V917" s="32"/>
      <c r="W917" s="32"/>
      <c r="X917" s="32"/>
      <c r="Y917" s="32"/>
      <c r="Z917" s="32"/>
    </row>
    <row r="918" spans="1:26" ht="13.5" customHeight="1">
      <c r="A918" s="32"/>
      <c r="B918" s="32"/>
      <c r="C918" s="32"/>
      <c r="D918" s="32"/>
      <c r="E918" s="32"/>
      <c r="F918" s="32"/>
      <c r="G918" s="32"/>
      <c r="H918" s="32"/>
      <c r="I918" s="32"/>
      <c r="J918" s="32"/>
      <c r="K918" s="32"/>
      <c r="L918" s="32"/>
      <c r="M918" s="32"/>
      <c r="N918" s="32"/>
      <c r="O918" s="32"/>
      <c r="P918" s="32"/>
      <c r="Q918" s="32"/>
      <c r="R918" s="32"/>
      <c r="S918" s="32"/>
      <c r="T918" s="32"/>
      <c r="U918" s="32"/>
      <c r="V918" s="32"/>
      <c r="W918" s="32"/>
      <c r="X918" s="32"/>
      <c r="Y918" s="32"/>
      <c r="Z918" s="32"/>
    </row>
    <row r="919" spans="1:26" ht="13.5" customHeight="1">
      <c r="A919" s="32"/>
      <c r="B919" s="32"/>
      <c r="C919" s="32"/>
      <c r="D919" s="32"/>
      <c r="E919" s="32"/>
      <c r="F919" s="32"/>
      <c r="G919" s="32"/>
      <c r="H919" s="32"/>
      <c r="I919" s="32"/>
      <c r="J919" s="32"/>
      <c r="K919" s="32"/>
      <c r="L919" s="32"/>
      <c r="M919" s="32"/>
      <c r="N919" s="32"/>
      <c r="O919" s="32"/>
      <c r="P919" s="32"/>
      <c r="Q919" s="32"/>
      <c r="R919" s="32"/>
      <c r="S919" s="32"/>
      <c r="T919" s="32"/>
      <c r="U919" s="32"/>
      <c r="V919" s="32"/>
      <c r="W919" s="32"/>
      <c r="X919" s="32"/>
      <c r="Y919" s="32"/>
      <c r="Z919" s="32"/>
    </row>
    <row r="920" spans="1:26" ht="13.5" customHeight="1">
      <c r="A920" s="32"/>
      <c r="B920" s="32"/>
      <c r="C920" s="32"/>
      <c r="D920" s="32"/>
      <c r="E920" s="32"/>
      <c r="F920" s="32"/>
      <c r="G920" s="32"/>
      <c r="H920" s="32"/>
      <c r="I920" s="32"/>
      <c r="J920" s="32"/>
      <c r="K920" s="32"/>
      <c r="L920" s="32"/>
      <c r="M920" s="32"/>
      <c r="N920" s="32"/>
      <c r="O920" s="32"/>
      <c r="P920" s="32"/>
      <c r="Q920" s="32"/>
      <c r="R920" s="32"/>
      <c r="S920" s="32"/>
      <c r="T920" s="32"/>
      <c r="U920" s="32"/>
      <c r="V920" s="32"/>
      <c r="W920" s="32"/>
      <c r="X920" s="32"/>
      <c r="Y920" s="32"/>
      <c r="Z920" s="32"/>
    </row>
    <row r="921" spans="1:26" ht="13.5" customHeight="1">
      <c r="A921" s="32"/>
      <c r="B921" s="32"/>
      <c r="C921" s="32"/>
      <c r="D921" s="32"/>
      <c r="E921" s="32"/>
      <c r="F921" s="32"/>
      <c r="G921" s="32"/>
      <c r="H921" s="32"/>
      <c r="I921" s="32"/>
      <c r="J921" s="32"/>
      <c r="K921" s="32"/>
      <c r="L921" s="32"/>
      <c r="M921" s="32"/>
      <c r="N921" s="32"/>
      <c r="O921" s="32"/>
      <c r="P921" s="32"/>
      <c r="Q921" s="32"/>
      <c r="R921" s="32"/>
      <c r="S921" s="32"/>
      <c r="T921" s="32"/>
      <c r="U921" s="32"/>
      <c r="V921" s="32"/>
      <c r="W921" s="32"/>
      <c r="X921" s="32"/>
      <c r="Y921" s="32"/>
      <c r="Z921" s="32"/>
    </row>
    <row r="922" spans="1:26" ht="13.5" customHeight="1">
      <c r="A922" s="32"/>
      <c r="B922" s="32"/>
      <c r="C922" s="32"/>
      <c r="D922" s="32"/>
      <c r="E922" s="32"/>
      <c r="F922" s="32"/>
      <c r="G922" s="32"/>
      <c r="H922" s="32"/>
      <c r="I922" s="32"/>
      <c r="J922" s="32"/>
      <c r="K922" s="32"/>
      <c r="L922" s="32"/>
      <c r="M922" s="32"/>
      <c r="N922" s="32"/>
      <c r="O922" s="32"/>
      <c r="P922" s="32"/>
      <c r="Q922" s="32"/>
      <c r="R922" s="32"/>
      <c r="S922" s="32"/>
      <c r="T922" s="32"/>
      <c r="U922" s="32"/>
      <c r="V922" s="32"/>
      <c r="W922" s="32"/>
      <c r="X922" s="32"/>
      <c r="Y922" s="32"/>
      <c r="Z922" s="32"/>
    </row>
    <row r="923" spans="1:26" ht="13.5" customHeight="1">
      <c r="A923" s="32"/>
      <c r="B923" s="32"/>
      <c r="C923" s="32"/>
      <c r="D923" s="32"/>
      <c r="E923" s="32"/>
      <c r="F923" s="32"/>
      <c r="G923" s="32"/>
      <c r="H923" s="32"/>
      <c r="I923" s="32"/>
      <c r="J923" s="32"/>
      <c r="K923" s="32"/>
      <c r="L923" s="32"/>
      <c r="M923" s="32"/>
      <c r="N923" s="32"/>
      <c r="O923" s="32"/>
      <c r="P923" s="32"/>
      <c r="Q923" s="32"/>
      <c r="R923" s="32"/>
      <c r="S923" s="32"/>
      <c r="T923" s="32"/>
      <c r="U923" s="32"/>
      <c r="V923" s="32"/>
      <c r="W923" s="32"/>
      <c r="X923" s="32"/>
      <c r="Y923" s="32"/>
      <c r="Z923" s="32"/>
    </row>
    <row r="924" spans="1:26" ht="13.5" customHeight="1">
      <c r="A924" s="32"/>
      <c r="B924" s="32"/>
      <c r="C924" s="32"/>
      <c r="D924" s="32"/>
      <c r="E924" s="32"/>
      <c r="F924" s="32"/>
      <c r="G924" s="32"/>
      <c r="H924" s="32"/>
      <c r="I924" s="32"/>
      <c r="J924" s="32"/>
      <c r="K924" s="32"/>
      <c r="L924" s="32"/>
      <c r="M924" s="32"/>
      <c r="N924" s="32"/>
      <c r="O924" s="32"/>
      <c r="P924" s="32"/>
      <c r="Q924" s="32"/>
      <c r="R924" s="32"/>
      <c r="S924" s="32"/>
      <c r="T924" s="32"/>
      <c r="U924" s="32"/>
      <c r="V924" s="32"/>
      <c r="W924" s="32"/>
      <c r="X924" s="32"/>
      <c r="Y924" s="32"/>
      <c r="Z924" s="32"/>
    </row>
    <row r="925" spans="1:26" ht="13.5" customHeight="1">
      <c r="A925" s="32"/>
      <c r="B925" s="32"/>
      <c r="C925" s="32"/>
      <c r="D925" s="32"/>
      <c r="E925" s="32"/>
      <c r="F925" s="32"/>
      <c r="G925" s="32"/>
      <c r="H925" s="32"/>
      <c r="I925" s="32"/>
      <c r="J925" s="32"/>
      <c r="K925" s="32"/>
      <c r="L925" s="32"/>
      <c r="M925" s="32"/>
      <c r="N925" s="32"/>
      <c r="O925" s="32"/>
      <c r="P925" s="32"/>
      <c r="Q925" s="32"/>
      <c r="R925" s="32"/>
      <c r="S925" s="32"/>
      <c r="T925" s="32"/>
      <c r="U925" s="32"/>
      <c r="V925" s="32"/>
      <c r="W925" s="32"/>
      <c r="X925" s="32"/>
      <c r="Y925" s="32"/>
      <c r="Z925" s="32"/>
    </row>
    <row r="926" spans="1:26" ht="13.5" customHeight="1">
      <c r="A926" s="32"/>
      <c r="B926" s="32"/>
      <c r="C926" s="32"/>
      <c r="D926" s="32"/>
      <c r="E926" s="32"/>
      <c r="F926" s="32"/>
      <c r="G926" s="32"/>
      <c r="H926" s="32"/>
      <c r="I926" s="32"/>
      <c r="J926" s="32"/>
      <c r="K926" s="32"/>
      <c r="L926" s="32"/>
      <c r="M926" s="32"/>
      <c r="N926" s="32"/>
      <c r="O926" s="32"/>
      <c r="P926" s="32"/>
      <c r="Q926" s="32"/>
      <c r="R926" s="32"/>
      <c r="S926" s="32"/>
      <c r="T926" s="32"/>
      <c r="U926" s="32"/>
      <c r="V926" s="32"/>
      <c r="W926" s="32"/>
      <c r="X926" s="32"/>
      <c r="Y926" s="32"/>
      <c r="Z926" s="32"/>
    </row>
    <row r="927" spans="1:26" ht="13.5" customHeight="1">
      <c r="A927" s="32"/>
      <c r="B927" s="32"/>
      <c r="C927" s="32"/>
      <c r="D927" s="32"/>
      <c r="E927" s="32"/>
      <c r="F927" s="32"/>
      <c r="G927" s="32"/>
      <c r="H927" s="32"/>
      <c r="I927" s="32"/>
      <c r="J927" s="32"/>
      <c r="K927" s="32"/>
      <c r="L927" s="32"/>
      <c r="M927" s="32"/>
      <c r="N927" s="32"/>
      <c r="O927" s="32"/>
      <c r="P927" s="32"/>
      <c r="Q927" s="32"/>
      <c r="R927" s="32"/>
      <c r="S927" s="32"/>
      <c r="T927" s="32"/>
      <c r="U927" s="32"/>
      <c r="V927" s="32"/>
      <c r="W927" s="32"/>
      <c r="X927" s="32"/>
      <c r="Y927" s="32"/>
      <c r="Z927" s="32"/>
    </row>
    <row r="928" spans="1:26" ht="13.5" customHeight="1">
      <c r="A928" s="32"/>
      <c r="B928" s="32"/>
      <c r="C928" s="32"/>
      <c r="D928" s="32"/>
      <c r="E928" s="32"/>
      <c r="F928" s="32"/>
      <c r="G928" s="32"/>
      <c r="H928" s="32"/>
      <c r="I928" s="32"/>
      <c r="J928" s="32"/>
      <c r="K928" s="32"/>
      <c r="L928" s="32"/>
      <c r="M928" s="32"/>
      <c r="N928" s="32"/>
      <c r="O928" s="32"/>
      <c r="P928" s="32"/>
      <c r="Q928" s="32"/>
      <c r="R928" s="32"/>
      <c r="S928" s="32"/>
      <c r="T928" s="32"/>
      <c r="U928" s="32"/>
      <c r="V928" s="32"/>
      <c r="W928" s="32"/>
      <c r="X928" s="32"/>
      <c r="Y928" s="32"/>
      <c r="Z928" s="32"/>
    </row>
    <row r="929" spans="1:26" ht="13.5" customHeight="1">
      <c r="A929" s="32"/>
      <c r="B929" s="32"/>
      <c r="C929" s="32"/>
      <c r="D929" s="32"/>
      <c r="E929" s="32"/>
      <c r="F929" s="32"/>
      <c r="G929" s="32"/>
      <c r="H929" s="32"/>
      <c r="I929" s="32"/>
      <c r="J929" s="32"/>
      <c r="K929" s="32"/>
      <c r="L929" s="32"/>
      <c r="M929" s="32"/>
      <c r="N929" s="32"/>
      <c r="O929" s="32"/>
      <c r="P929" s="32"/>
      <c r="Q929" s="32"/>
      <c r="R929" s="32"/>
      <c r="S929" s="32"/>
      <c r="T929" s="32"/>
      <c r="U929" s="32"/>
      <c r="V929" s="32"/>
      <c r="W929" s="32"/>
      <c r="X929" s="32"/>
      <c r="Y929" s="32"/>
      <c r="Z929" s="32"/>
    </row>
    <row r="930" spans="1:26" ht="13.5" customHeight="1">
      <c r="A930" s="32"/>
      <c r="B930" s="32"/>
      <c r="C930" s="32"/>
      <c r="D930" s="32"/>
      <c r="E930" s="32"/>
      <c r="F930" s="32"/>
      <c r="G930" s="32"/>
      <c r="H930" s="32"/>
      <c r="I930" s="32"/>
      <c r="J930" s="32"/>
      <c r="K930" s="32"/>
      <c r="L930" s="32"/>
      <c r="M930" s="32"/>
      <c r="N930" s="32"/>
      <c r="O930" s="32"/>
      <c r="P930" s="32"/>
      <c r="Q930" s="32"/>
      <c r="R930" s="32"/>
      <c r="S930" s="32"/>
      <c r="T930" s="32"/>
      <c r="U930" s="32"/>
      <c r="V930" s="32"/>
      <c r="W930" s="32"/>
      <c r="X930" s="32"/>
      <c r="Y930" s="32"/>
      <c r="Z930" s="32"/>
    </row>
    <row r="931" spans="1:26" ht="13.5" customHeight="1">
      <c r="A931" s="32"/>
      <c r="B931" s="32"/>
      <c r="C931" s="32"/>
      <c r="D931" s="32"/>
      <c r="E931" s="32"/>
      <c r="F931" s="32"/>
      <c r="G931" s="32"/>
      <c r="H931" s="32"/>
      <c r="I931" s="32"/>
      <c r="J931" s="32"/>
      <c r="K931" s="32"/>
      <c r="L931" s="32"/>
      <c r="M931" s="32"/>
      <c r="N931" s="32"/>
      <c r="O931" s="32"/>
      <c r="P931" s="32"/>
      <c r="Q931" s="32"/>
      <c r="R931" s="32"/>
      <c r="S931" s="32"/>
      <c r="T931" s="32"/>
      <c r="U931" s="32"/>
      <c r="V931" s="32"/>
      <c r="W931" s="32"/>
      <c r="X931" s="32"/>
      <c r="Y931" s="32"/>
      <c r="Z931" s="32"/>
    </row>
    <row r="932" spans="1:26" ht="13.5" customHeight="1">
      <c r="A932" s="32"/>
      <c r="B932" s="32"/>
      <c r="C932" s="32"/>
      <c r="D932" s="32"/>
      <c r="E932" s="32"/>
      <c r="F932" s="32"/>
      <c r="G932" s="32"/>
      <c r="H932" s="32"/>
      <c r="I932" s="32"/>
      <c r="J932" s="32"/>
      <c r="K932" s="32"/>
      <c r="L932" s="32"/>
      <c r="M932" s="32"/>
      <c r="N932" s="32"/>
      <c r="O932" s="32"/>
      <c r="P932" s="32"/>
      <c r="Q932" s="32"/>
      <c r="R932" s="32"/>
      <c r="S932" s="32"/>
      <c r="T932" s="32"/>
      <c r="U932" s="32"/>
      <c r="V932" s="32"/>
      <c r="W932" s="32"/>
      <c r="X932" s="32"/>
      <c r="Y932" s="32"/>
      <c r="Z932" s="32"/>
    </row>
    <row r="933" spans="1:26" ht="13.5" customHeight="1">
      <c r="A933" s="32"/>
      <c r="B933" s="32"/>
      <c r="C933" s="32"/>
      <c r="D933" s="32"/>
      <c r="E933" s="32"/>
      <c r="F933" s="32"/>
      <c r="G933" s="32"/>
      <c r="H933" s="32"/>
      <c r="I933" s="32"/>
      <c r="J933" s="32"/>
      <c r="K933" s="32"/>
      <c r="L933" s="32"/>
      <c r="M933" s="32"/>
      <c r="N933" s="32"/>
      <c r="O933" s="32"/>
      <c r="P933" s="32"/>
      <c r="Q933" s="32"/>
      <c r="R933" s="32"/>
      <c r="S933" s="32"/>
      <c r="T933" s="32"/>
      <c r="U933" s="32"/>
      <c r="V933" s="32"/>
      <c r="W933" s="32"/>
      <c r="X933" s="32"/>
      <c r="Y933" s="32"/>
      <c r="Z933" s="32"/>
    </row>
    <row r="934" spans="1:26" ht="13.5" customHeight="1">
      <c r="A934" s="32"/>
      <c r="B934" s="32"/>
      <c r="C934" s="32"/>
      <c r="D934" s="32"/>
      <c r="E934" s="32"/>
      <c r="F934" s="32"/>
      <c r="G934" s="32"/>
      <c r="H934" s="32"/>
      <c r="I934" s="32"/>
      <c r="J934" s="32"/>
      <c r="K934" s="32"/>
      <c r="L934" s="32"/>
      <c r="M934" s="32"/>
      <c r="N934" s="32"/>
      <c r="O934" s="32"/>
      <c r="P934" s="32"/>
      <c r="Q934" s="32"/>
      <c r="R934" s="32"/>
      <c r="S934" s="32"/>
      <c r="T934" s="32"/>
      <c r="U934" s="32"/>
      <c r="V934" s="32"/>
      <c r="W934" s="32"/>
      <c r="X934" s="32"/>
      <c r="Y934" s="32"/>
      <c r="Z934" s="32"/>
    </row>
    <row r="935" spans="1:26" ht="13.5" customHeight="1">
      <c r="A935" s="32"/>
      <c r="B935" s="32"/>
      <c r="C935" s="32"/>
      <c r="D935" s="32"/>
      <c r="E935" s="32"/>
      <c r="F935" s="32"/>
      <c r="G935" s="32"/>
      <c r="H935" s="32"/>
      <c r="I935" s="32"/>
      <c r="J935" s="32"/>
      <c r="K935" s="32"/>
      <c r="L935" s="32"/>
      <c r="M935" s="32"/>
      <c r="N935" s="32"/>
      <c r="O935" s="32"/>
      <c r="P935" s="32"/>
      <c r="Q935" s="32"/>
      <c r="R935" s="32"/>
      <c r="S935" s="32"/>
      <c r="T935" s="32"/>
      <c r="U935" s="32"/>
      <c r="V935" s="32"/>
      <c r="W935" s="32"/>
      <c r="X935" s="32"/>
      <c r="Y935" s="32"/>
      <c r="Z935" s="32"/>
    </row>
    <row r="936" spans="1:26" ht="13.5" customHeight="1">
      <c r="A936" s="32"/>
      <c r="B936" s="32"/>
      <c r="C936" s="32"/>
      <c r="D936" s="32"/>
      <c r="E936" s="32"/>
      <c r="F936" s="32"/>
      <c r="G936" s="32"/>
      <c r="H936" s="32"/>
      <c r="I936" s="32"/>
      <c r="J936" s="32"/>
      <c r="K936" s="32"/>
      <c r="L936" s="32"/>
      <c r="M936" s="32"/>
      <c r="N936" s="32"/>
      <c r="O936" s="32"/>
      <c r="P936" s="32"/>
      <c r="Q936" s="32"/>
      <c r="R936" s="32"/>
      <c r="S936" s="32"/>
      <c r="T936" s="32"/>
      <c r="U936" s="32"/>
      <c r="V936" s="32"/>
      <c r="W936" s="32"/>
      <c r="X936" s="32"/>
      <c r="Y936" s="32"/>
      <c r="Z936" s="32"/>
    </row>
    <row r="937" spans="1:26" ht="13.5" customHeight="1">
      <c r="A937" s="32"/>
      <c r="B937" s="32"/>
      <c r="C937" s="32"/>
      <c r="D937" s="32"/>
      <c r="E937" s="32"/>
      <c r="F937" s="32"/>
      <c r="G937" s="32"/>
      <c r="H937" s="32"/>
      <c r="I937" s="32"/>
      <c r="J937" s="32"/>
      <c r="K937" s="32"/>
      <c r="L937" s="32"/>
      <c r="M937" s="32"/>
      <c r="N937" s="32"/>
      <c r="O937" s="32"/>
      <c r="P937" s="32"/>
      <c r="Q937" s="32"/>
      <c r="R937" s="32"/>
      <c r="S937" s="32"/>
      <c r="T937" s="32"/>
      <c r="U937" s="32"/>
      <c r="V937" s="32"/>
      <c r="W937" s="32"/>
      <c r="X937" s="32"/>
      <c r="Y937" s="32"/>
      <c r="Z937" s="32"/>
    </row>
    <row r="938" spans="1:26" ht="13.5" customHeight="1">
      <c r="A938" s="32"/>
      <c r="B938" s="32"/>
      <c r="C938" s="32"/>
      <c r="D938" s="32"/>
      <c r="E938" s="32"/>
      <c r="F938" s="32"/>
      <c r="G938" s="32"/>
      <c r="H938" s="32"/>
      <c r="I938" s="32"/>
      <c r="J938" s="32"/>
      <c r="K938" s="32"/>
      <c r="L938" s="32"/>
      <c r="M938" s="32"/>
      <c r="N938" s="32"/>
      <c r="O938" s="32"/>
      <c r="P938" s="32"/>
      <c r="Q938" s="32"/>
      <c r="R938" s="32"/>
      <c r="S938" s="32"/>
      <c r="T938" s="32"/>
      <c r="U938" s="32"/>
      <c r="V938" s="32"/>
      <c r="W938" s="32"/>
      <c r="X938" s="32"/>
      <c r="Y938" s="32"/>
      <c r="Z938" s="32"/>
    </row>
    <row r="939" spans="1:26" ht="13.5" customHeight="1">
      <c r="A939" s="32"/>
      <c r="B939" s="32"/>
      <c r="C939" s="32"/>
      <c r="D939" s="32"/>
      <c r="E939" s="32"/>
      <c r="F939" s="32"/>
      <c r="G939" s="32"/>
      <c r="H939" s="32"/>
      <c r="I939" s="32"/>
      <c r="J939" s="32"/>
      <c r="K939" s="32"/>
      <c r="L939" s="32"/>
      <c r="M939" s="32"/>
      <c r="N939" s="32"/>
      <c r="O939" s="32"/>
      <c r="P939" s="32"/>
      <c r="Q939" s="32"/>
      <c r="R939" s="32"/>
      <c r="S939" s="32"/>
      <c r="T939" s="32"/>
      <c r="U939" s="32"/>
      <c r="V939" s="32"/>
      <c r="W939" s="32"/>
      <c r="X939" s="32"/>
      <c r="Y939" s="32"/>
      <c r="Z939" s="32"/>
    </row>
    <row r="940" spans="1:26" ht="13.5" customHeight="1">
      <c r="A940" s="32"/>
      <c r="B940" s="32"/>
      <c r="C940" s="32"/>
      <c r="D940" s="32"/>
      <c r="E940" s="32"/>
      <c r="F940" s="32"/>
      <c r="G940" s="32"/>
      <c r="H940" s="32"/>
      <c r="I940" s="32"/>
      <c r="J940" s="32"/>
      <c r="K940" s="32"/>
      <c r="L940" s="32"/>
      <c r="M940" s="32"/>
      <c r="N940" s="32"/>
      <c r="O940" s="32"/>
      <c r="P940" s="32"/>
      <c r="Q940" s="32"/>
      <c r="R940" s="32"/>
      <c r="S940" s="32"/>
      <c r="T940" s="32"/>
      <c r="U940" s="32"/>
      <c r="V940" s="32"/>
      <c r="W940" s="32"/>
      <c r="X940" s="32"/>
      <c r="Y940" s="32"/>
      <c r="Z940" s="32"/>
    </row>
    <row r="941" spans="1:26" ht="13.5" customHeight="1">
      <c r="A941" s="32"/>
      <c r="B941" s="32"/>
      <c r="C941" s="32"/>
      <c r="D941" s="32"/>
      <c r="E941" s="32"/>
      <c r="F941" s="32"/>
      <c r="G941" s="32"/>
      <c r="H941" s="32"/>
      <c r="I941" s="32"/>
      <c r="J941" s="32"/>
      <c r="K941" s="32"/>
      <c r="L941" s="32"/>
      <c r="M941" s="32"/>
      <c r="N941" s="32"/>
      <c r="O941" s="32"/>
      <c r="P941" s="32"/>
      <c r="Q941" s="32"/>
      <c r="R941" s="32"/>
      <c r="S941" s="32"/>
      <c r="T941" s="32"/>
      <c r="U941" s="32"/>
      <c r="V941" s="32"/>
      <c r="W941" s="32"/>
      <c r="X941" s="32"/>
      <c r="Y941" s="32"/>
      <c r="Z941" s="32"/>
    </row>
    <row r="942" spans="1:26" ht="13.5" customHeight="1">
      <c r="A942" s="32"/>
      <c r="B942" s="32"/>
      <c r="C942" s="32"/>
      <c r="D942" s="32"/>
      <c r="E942" s="32"/>
      <c r="F942" s="32"/>
      <c r="G942" s="32"/>
      <c r="H942" s="32"/>
      <c r="I942" s="32"/>
      <c r="J942" s="32"/>
      <c r="K942" s="32"/>
      <c r="L942" s="32"/>
      <c r="M942" s="32"/>
      <c r="N942" s="32"/>
      <c r="O942" s="32"/>
      <c r="P942" s="32"/>
      <c r="Q942" s="32"/>
      <c r="R942" s="32"/>
      <c r="S942" s="32"/>
      <c r="T942" s="32"/>
      <c r="U942" s="32"/>
      <c r="V942" s="32"/>
      <c r="W942" s="32"/>
      <c r="X942" s="32"/>
      <c r="Y942" s="32"/>
      <c r="Z942" s="32"/>
    </row>
    <row r="943" spans="1:26" ht="13.5" customHeight="1">
      <c r="A943" s="32"/>
      <c r="B943" s="32"/>
      <c r="C943" s="32"/>
      <c r="D943" s="32"/>
      <c r="E943" s="32"/>
      <c r="F943" s="32"/>
      <c r="G943" s="32"/>
      <c r="H943" s="32"/>
      <c r="I943" s="32"/>
      <c r="J943" s="32"/>
      <c r="K943" s="32"/>
      <c r="L943" s="32"/>
      <c r="M943" s="32"/>
      <c r="N943" s="32"/>
      <c r="O943" s="32"/>
      <c r="P943" s="32"/>
      <c r="Q943" s="32"/>
      <c r="R943" s="32"/>
      <c r="S943" s="32"/>
      <c r="T943" s="32"/>
      <c r="U943" s="32"/>
      <c r="V943" s="32"/>
      <c r="W943" s="32"/>
      <c r="X943" s="32"/>
      <c r="Y943" s="32"/>
      <c r="Z943" s="32"/>
    </row>
    <row r="944" spans="1:26" ht="13.5" customHeight="1">
      <c r="A944" s="32"/>
      <c r="B944" s="32"/>
      <c r="C944" s="32"/>
      <c r="D944" s="32"/>
      <c r="E944" s="32"/>
      <c r="F944" s="32"/>
      <c r="G944" s="32"/>
      <c r="H944" s="32"/>
      <c r="I944" s="32"/>
      <c r="J944" s="32"/>
      <c r="K944" s="32"/>
      <c r="L944" s="32"/>
      <c r="M944" s="32"/>
      <c r="N944" s="32"/>
      <c r="O944" s="32"/>
      <c r="P944" s="32"/>
      <c r="Q944" s="32"/>
      <c r="R944" s="32"/>
      <c r="S944" s="32"/>
      <c r="T944" s="32"/>
      <c r="U944" s="32"/>
      <c r="V944" s="32"/>
      <c r="W944" s="32"/>
      <c r="X944" s="32"/>
      <c r="Y944" s="32"/>
      <c r="Z944" s="32"/>
    </row>
    <row r="945" spans="1:26" ht="13.5" customHeight="1">
      <c r="A945" s="32"/>
      <c r="B945" s="32"/>
      <c r="C945" s="32"/>
      <c r="D945" s="32"/>
      <c r="E945" s="32"/>
      <c r="F945" s="32"/>
      <c r="G945" s="32"/>
      <c r="H945" s="32"/>
      <c r="I945" s="32"/>
      <c r="J945" s="32"/>
      <c r="K945" s="32"/>
      <c r="L945" s="32"/>
      <c r="M945" s="32"/>
      <c r="N945" s="32"/>
      <c r="O945" s="32"/>
      <c r="P945" s="32"/>
      <c r="Q945" s="32"/>
      <c r="R945" s="32"/>
      <c r="S945" s="32"/>
      <c r="T945" s="32"/>
      <c r="U945" s="32"/>
      <c r="V945" s="32"/>
      <c r="W945" s="32"/>
      <c r="X945" s="32"/>
      <c r="Y945" s="32"/>
      <c r="Z945" s="32"/>
    </row>
    <row r="946" spans="1:26" ht="13.5" customHeight="1">
      <c r="A946" s="32"/>
      <c r="B946" s="32"/>
      <c r="C946" s="32"/>
      <c r="D946" s="32"/>
      <c r="E946" s="32"/>
      <c r="F946" s="32"/>
      <c r="G946" s="32"/>
      <c r="H946" s="32"/>
      <c r="I946" s="32"/>
      <c r="J946" s="32"/>
      <c r="K946" s="32"/>
      <c r="L946" s="32"/>
      <c r="M946" s="32"/>
      <c r="N946" s="32"/>
      <c r="O946" s="32"/>
      <c r="P946" s="32"/>
      <c r="Q946" s="32"/>
      <c r="R946" s="32"/>
      <c r="S946" s="32"/>
      <c r="T946" s="32"/>
      <c r="U946" s="32"/>
      <c r="V946" s="32"/>
      <c r="W946" s="32"/>
      <c r="X946" s="32"/>
      <c r="Y946" s="32"/>
      <c r="Z946" s="32"/>
    </row>
    <row r="947" spans="1:26" ht="13.5" customHeight="1">
      <c r="A947" s="32"/>
      <c r="B947" s="32"/>
      <c r="C947" s="32"/>
      <c r="D947" s="32"/>
      <c r="E947" s="32"/>
      <c r="F947" s="32"/>
      <c r="G947" s="32"/>
      <c r="H947" s="32"/>
      <c r="I947" s="32"/>
      <c r="J947" s="32"/>
      <c r="K947" s="32"/>
      <c r="L947" s="32"/>
      <c r="M947" s="32"/>
      <c r="N947" s="32"/>
      <c r="O947" s="32"/>
      <c r="P947" s="32"/>
      <c r="Q947" s="32"/>
      <c r="R947" s="32"/>
      <c r="S947" s="32"/>
      <c r="T947" s="32"/>
      <c r="U947" s="32"/>
      <c r="V947" s="32"/>
      <c r="W947" s="32"/>
      <c r="X947" s="32"/>
      <c r="Y947" s="32"/>
      <c r="Z947" s="32"/>
    </row>
    <row r="948" spans="1:26" ht="13.5" customHeight="1">
      <c r="A948" s="32"/>
      <c r="B948" s="32"/>
      <c r="C948" s="32"/>
      <c r="D948" s="32"/>
      <c r="E948" s="32"/>
      <c r="F948" s="32"/>
      <c r="G948" s="32"/>
      <c r="H948" s="32"/>
      <c r="I948" s="32"/>
      <c r="J948" s="32"/>
      <c r="K948" s="32"/>
      <c r="L948" s="32"/>
      <c r="M948" s="32"/>
      <c r="N948" s="32"/>
      <c r="O948" s="32"/>
      <c r="P948" s="32"/>
      <c r="Q948" s="32"/>
      <c r="R948" s="32"/>
      <c r="S948" s="32"/>
      <c r="T948" s="32"/>
      <c r="U948" s="32"/>
      <c r="V948" s="32"/>
      <c r="W948" s="32"/>
      <c r="X948" s="32"/>
      <c r="Y948" s="32"/>
      <c r="Z948" s="32"/>
    </row>
    <row r="949" spans="1:26" ht="13.5" customHeight="1">
      <c r="A949" s="32"/>
      <c r="B949" s="32"/>
      <c r="C949" s="32"/>
      <c r="D949" s="32"/>
      <c r="E949" s="32"/>
      <c r="F949" s="32"/>
      <c r="G949" s="32"/>
      <c r="H949" s="32"/>
      <c r="I949" s="32"/>
      <c r="J949" s="32"/>
      <c r="K949" s="32"/>
      <c r="L949" s="32"/>
      <c r="M949" s="32"/>
      <c r="N949" s="32"/>
      <c r="O949" s="32"/>
      <c r="P949" s="32"/>
      <c r="Q949" s="32"/>
      <c r="R949" s="32"/>
      <c r="S949" s="32"/>
      <c r="T949" s="32"/>
      <c r="U949" s="32"/>
      <c r="V949" s="32"/>
      <c r="W949" s="32"/>
      <c r="X949" s="32"/>
      <c r="Y949" s="32"/>
      <c r="Z949" s="32"/>
    </row>
    <row r="950" spans="1:26" ht="13.5" customHeight="1">
      <c r="A950" s="32"/>
      <c r="B950" s="32"/>
      <c r="C950" s="32"/>
      <c r="D950" s="32"/>
      <c r="E950" s="32"/>
      <c r="F950" s="32"/>
      <c r="G950" s="32"/>
      <c r="H950" s="32"/>
      <c r="I950" s="32"/>
      <c r="J950" s="32"/>
      <c r="K950" s="32"/>
      <c r="L950" s="32"/>
      <c r="M950" s="32"/>
      <c r="N950" s="32"/>
      <c r="O950" s="32"/>
      <c r="P950" s="32"/>
      <c r="Q950" s="32"/>
      <c r="R950" s="32"/>
      <c r="S950" s="32"/>
      <c r="T950" s="32"/>
      <c r="U950" s="32"/>
      <c r="V950" s="32"/>
      <c r="W950" s="32"/>
      <c r="X950" s="32"/>
      <c r="Y950" s="32"/>
      <c r="Z950" s="32"/>
    </row>
    <row r="951" spans="1:26" ht="13.5" customHeight="1">
      <c r="A951" s="32"/>
      <c r="B951" s="32"/>
      <c r="C951" s="32"/>
      <c r="D951" s="32"/>
      <c r="E951" s="32"/>
      <c r="F951" s="32"/>
      <c r="G951" s="32"/>
      <c r="H951" s="32"/>
      <c r="I951" s="32"/>
      <c r="J951" s="32"/>
      <c r="K951" s="32"/>
      <c r="L951" s="32"/>
      <c r="M951" s="32"/>
      <c r="N951" s="32"/>
      <c r="O951" s="32"/>
      <c r="P951" s="32"/>
      <c r="Q951" s="32"/>
      <c r="R951" s="32"/>
      <c r="S951" s="32"/>
      <c r="T951" s="32"/>
      <c r="U951" s="32"/>
      <c r="V951" s="32"/>
      <c r="W951" s="32"/>
      <c r="X951" s="32"/>
      <c r="Y951" s="32"/>
      <c r="Z951" s="32"/>
    </row>
    <row r="952" spans="1:26" ht="13.5" customHeight="1">
      <c r="A952" s="32"/>
      <c r="B952" s="32"/>
      <c r="C952" s="32"/>
      <c r="D952" s="32"/>
      <c r="E952" s="32"/>
      <c r="F952" s="32"/>
      <c r="G952" s="32"/>
      <c r="H952" s="32"/>
      <c r="I952" s="32"/>
      <c r="J952" s="32"/>
      <c r="K952" s="32"/>
      <c r="L952" s="32"/>
      <c r="M952" s="32"/>
      <c r="N952" s="32"/>
      <c r="O952" s="32"/>
      <c r="P952" s="32"/>
      <c r="Q952" s="32"/>
      <c r="R952" s="32"/>
      <c r="S952" s="32"/>
      <c r="T952" s="32"/>
      <c r="U952" s="32"/>
      <c r="V952" s="32"/>
      <c r="W952" s="32"/>
      <c r="X952" s="32"/>
      <c r="Y952" s="32"/>
      <c r="Z952" s="32"/>
    </row>
    <row r="953" spans="1:26" ht="13.5" customHeight="1">
      <c r="A953" s="32"/>
      <c r="B953" s="32"/>
      <c r="C953" s="32"/>
      <c r="D953" s="32"/>
      <c r="E953" s="32"/>
      <c r="F953" s="32"/>
      <c r="G953" s="32"/>
      <c r="H953" s="32"/>
      <c r="I953" s="32"/>
      <c r="J953" s="32"/>
      <c r="K953" s="32"/>
      <c r="L953" s="32"/>
      <c r="M953" s="32"/>
      <c r="N953" s="32"/>
      <c r="O953" s="32"/>
      <c r="P953" s="32"/>
      <c r="Q953" s="32"/>
      <c r="R953" s="32"/>
      <c r="S953" s="32"/>
      <c r="T953" s="32"/>
      <c r="U953" s="32"/>
      <c r="V953" s="32"/>
      <c r="W953" s="32"/>
      <c r="X953" s="32"/>
      <c r="Y953" s="32"/>
      <c r="Z953" s="32"/>
    </row>
    <row r="954" spans="1:26" ht="13.5" customHeight="1">
      <c r="A954" s="32"/>
      <c r="B954" s="32"/>
      <c r="C954" s="32"/>
      <c r="D954" s="32"/>
      <c r="E954" s="32"/>
      <c r="F954" s="32"/>
      <c r="G954" s="32"/>
      <c r="H954" s="32"/>
      <c r="I954" s="32"/>
      <c r="J954" s="32"/>
      <c r="K954" s="32"/>
      <c r="L954" s="32"/>
      <c r="M954" s="32"/>
      <c r="N954" s="32"/>
      <c r="O954" s="32"/>
      <c r="P954" s="32"/>
      <c r="Q954" s="32"/>
      <c r="R954" s="32"/>
      <c r="S954" s="32"/>
      <c r="T954" s="32"/>
      <c r="U954" s="32"/>
      <c r="V954" s="32"/>
      <c r="W954" s="32"/>
      <c r="X954" s="32"/>
      <c r="Y954" s="32"/>
      <c r="Z954" s="32"/>
    </row>
    <row r="955" spans="1:26" ht="13.5" customHeight="1">
      <c r="A955" s="32"/>
      <c r="B955" s="32"/>
      <c r="C955" s="32"/>
      <c r="D955" s="32"/>
      <c r="E955" s="32"/>
      <c r="F955" s="32"/>
      <c r="G955" s="32"/>
      <c r="H955" s="32"/>
      <c r="I955" s="32"/>
      <c r="J955" s="32"/>
      <c r="K955" s="32"/>
      <c r="L955" s="32"/>
      <c r="M955" s="32"/>
      <c r="N955" s="32"/>
      <c r="O955" s="32"/>
      <c r="P955" s="32"/>
      <c r="Q955" s="32"/>
      <c r="R955" s="32"/>
      <c r="S955" s="32"/>
      <c r="T955" s="32"/>
      <c r="U955" s="32"/>
      <c r="V955" s="32"/>
      <c r="W955" s="32"/>
      <c r="X955" s="32"/>
      <c r="Y955" s="32"/>
      <c r="Z955" s="32"/>
    </row>
    <row r="956" spans="1:26" ht="13.5" customHeight="1">
      <c r="A956" s="32"/>
      <c r="B956" s="32"/>
      <c r="C956" s="32"/>
      <c r="D956" s="32"/>
      <c r="E956" s="32"/>
      <c r="F956" s="32"/>
      <c r="G956" s="32"/>
      <c r="H956" s="32"/>
      <c r="I956" s="32"/>
      <c r="J956" s="32"/>
      <c r="K956" s="32"/>
      <c r="L956" s="32"/>
      <c r="M956" s="32"/>
      <c r="N956" s="32"/>
      <c r="O956" s="32"/>
      <c r="P956" s="32"/>
      <c r="Q956" s="32"/>
      <c r="R956" s="32"/>
      <c r="S956" s="32"/>
      <c r="T956" s="32"/>
      <c r="U956" s="32"/>
      <c r="V956" s="32"/>
      <c r="W956" s="32"/>
      <c r="X956" s="32"/>
      <c r="Y956" s="32"/>
      <c r="Z956" s="32"/>
    </row>
    <row r="957" spans="1:26" ht="13.5" customHeight="1">
      <c r="A957" s="32"/>
      <c r="B957" s="32"/>
      <c r="C957" s="32"/>
      <c r="D957" s="32"/>
      <c r="E957" s="32"/>
      <c r="F957" s="32"/>
      <c r="G957" s="32"/>
      <c r="H957" s="32"/>
      <c r="I957" s="32"/>
      <c r="J957" s="32"/>
      <c r="K957" s="32"/>
      <c r="L957" s="32"/>
      <c r="M957" s="32"/>
      <c r="N957" s="32"/>
      <c r="O957" s="32"/>
      <c r="P957" s="32"/>
      <c r="Q957" s="32"/>
      <c r="R957" s="32"/>
      <c r="S957" s="32"/>
      <c r="T957" s="32"/>
      <c r="U957" s="32"/>
      <c r="V957" s="32"/>
      <c r="W957" s="32"/>
      <c r="X957" s="32"/>
      <c r="Y957" s="32"/>
      <c r="Z957" s="32"/>
    </row>
    <row r="958" spans="1:26" ht="13.5" customHeight="1">
      <c r="A958" s="32"/>
      <c r="B958" s="32"/>
      <c r="C958" s="32"/>
      <c r="D958" s="32"/>
      <c r="E958" s="32"/>
      <c r="F958" s="32"/>
      <c r="G958" s="32"/>
      <c r="H958" s="32"/>
      <c r="I958" s="32"/>
      <c r="J958" s="32"/>
      <c r="K958" s="32"/>
      <c r="L958" s="32"/>
      <c r="M958" s="32"/>
      <c r="N958" s="32"/>
      <c r="O958" s="32"/>
      <c r="P958" s="32"/>
      <c r="Q958" s="32"/>
      <c r="R958" s="32"/>
      <c r="S958" s="32"/>
      <c r="T958" s="32"/>
      <c r="U958" s="32"/>
      <c r="V958" s="32"/>
      <c r="W958" s="32"/>
      <c r="X958" s="32"/>
      <c r="Y958" s="32"/>
      <c r="Z958" s="32"/>
    </row>
    <row r="959" spans="1:26" ht="13.5" customHeight="1">
      <c r="A959" s="32"/>
      <c r="B959" s="32"/>
      <c r="C959" s="32"/>
      <c r="D959" s="32"/>
      <c r="E959" s="32"/>
      <c r="F959" s="32"/>
      <c r="G959" s="32"/>
      <c r="H959" s="32"/>
      <c r="I959" s="32"/>
      <c r="J959" s="32"/>
      <c r="K959" s="32"/>
      <c r="L959" s="32"/>
      <c r="M959" s="32"/>
      <c r="N959" s="32"/>
      <c r="O959" s="32"/>
      <c r="P959" s="32"/>
      <c r="Q959" s="32"/>
      <c r="R959" s="32"/>
      <c r="S959" s="32"/>
      <c r="T959" s="32"/>
      <c r="U959" s="32"/>
      <c r="V959" s="32"/>
      <c r="W959" s="32"/>
      <c r="X959" s="32"/>
      <c r="Y959" s="32"/>
      <c r="Z959" s="32"/>
    </row>
    <row r="960" spans="1:26" ht="13.5" customHeight="1">
      <c r="A960" s="32"/>
      <c r="B960" s="32"/>
      <c r="C960" s="32"/>
      <c r="D960" s="32"/>
      <c r="E960" s="32"/>
      <c r="F960" s="32"/>
      <c r="G960" s="32"/>
      <c r="H960" s="32"/>
      <c r="I960" s="32"/>
      <c r="J960" s="32"/>
      <c r="K960" s="32"/>
      <c r="L960" s="32"/>
      <c r="M960" s="32"/>
      <c r="N960" s="32"/>
      <c r="O960" s="32"/>
      <c r="P960" s="32"/>
      <c r="Q960" s="32"/>
      <c r="R960" s="32"/>
      <c r="S960" s="32"/>
      <c r="T960" s="32"/>
      <c r="U960" s="32"/>
      <c r="V960" s="32"/>
      <c r="W960" s="32"/>
      <c r="X960" s="32"/>
      <c r="Y960" s="32"/>
      <c r="Z960" s="32"/>
    </row>
    <row r="961" spans="1:26" ht="13.5" customHeight="1">
      <c r="A961" s="32"/>
      <c r="B961" s="32"/>
      <c r="C961" s="32"/>
      <c r="D961" s="32"/>
      <c r="E961" s="32"/>
      <c r="F961" s="32"/>
      <c r="G961" s="32"/>
      <c r="H961" s="32"/>
      <c r="I961" s="32"/>
      <c r="J961" s="32"/>
      <c r="K961" s="32"/>
      <c r="L961" s="32"/>
      <c r="M961" s="32"/>
      <c r="N961" s="32"/>
      <c r="O961" s="32"/>
      <c r="P961" s="32"/>
      <c r="Q961" s="32"/>
      <c r="R961" s="32"/>
      <c r="S961" s="32"/>
      <c r="T961" s="32"/>
      <c r="U961" s="32"/>
      <c r="V961" s="32"/>
      <c r="W961" s="32"/>
      <c r="X961" s="32"/>
      <c r="Y961" s="32"/>
      <c r="Z961" s="32"/>
    </row>
    <row r="962" spans="1:26" ht="13.5" customHeight="1">
      <c r="A962" s="32"/>
      <c r="B962" s="32"/>
      <c r="C962" s="32"/>
      <c r="D962" s="32"/>
      <c r="E962" s="32"/>
      <c r="F962" s="32"/>
      <c r="G962" s="32"/>
      <c r="H962" s="32"/>
      <c r="I962" s="32"/>
      <c r="J962" s="32"/>
      <c r="K962" s="32"/>
      <c r="L962" s="32"/>
      <c r="M962" s="32"/>
      <c r="N962" s="32"/>
      <c r="O962" s="32"/>
      <c r="P962" s="32"/>
      <c r="Q962" s="32"/>
      <c r="R962" s="32"/>
      <c r="S962" s="32"/>
      <c r="T962" s="32"/>
      <c r="U962" s="32"/>
      <c r="V962" s="32"/>
      <c r="W962" s="32"/>
      <c r="X962" s="32"/>
      <c r="Y962" s="32"/>
      <c r="Z962" s="32"/>
    </row>
    <row r="963" spans="1:26" ht="13.5" customHeight="1">
      <c r="A963" s="32"/>
      <c r="B963" s="32"/>
      <c r="C963" s="32"/>
      <c r="D963" s="32"/>
      <c r="E963" s="32"/>
      <c r="F963" s="32"/>
      <c r="G963" s="32"/>
      <c r="H963" s="32"/>
      <c r="I963" s="32"/>
      <c r="J963" s="32"/>
      <c r="K963" s="32"/>
      <c r="L963" s="32"/>
      <c r="M963" s="32"/>
      <c r="N963" s="32"/>
      <c r="O963" s="32"/>
      <c r="P963" s="32"/>
      <c r="Q963" s="32"/>
      <c r="R963" s="32"/>
      <c r="S963" s="32"/>
      <c r="T963" s="32"/>
      <c r="U963" s="32"/>
      <c r="V963" s="32"/>
      <c r="W963" s="32"/>
      <c r="X963" s="32"/>
      <c r="Y963" s="32"/>
      <c r="Z963" s="32"/>
    </row>
    <row r="964" spans="1:26" ht="13.5" customHeight="1">
      <c r="A964" s="32"/>
      <c r="B964" s="32"/>
      <c r="C964" s="32"/>
      <c r="D964" s="32"/>
      <c r="E964" s="32"/>
      <c r="F964" s="32"/>
      <c r="G964" s="32"/>
      <c r="H964" s="32"/>
      <c r="I964" s="32"/>
      <c r="J964" s="32"/>
      <c r="K964" s="32"/>
      <c r="L964" s="32"/>
      <c r="M964" s="32"/>
      <c r="N964" s="32"/>
      <c r="O964" s="32"/>
      <c r="P964" s="32"/>
      <c r="Q964" s="32"/>
      <c r="R964" s="32"/>
      <c r="S964" s="32"/>
      <c r="T964" s="32"/>
      <c r="U964" s="32"/>
      <c r="V964" s="32"/>
      <c r="W964" s="32"/>
      <c r="X964" s="32"/>
      <c r="Y964" s="32"/>
      <c r="Z964" s="32"/>
    </row>
    <row r="965" spans="1:26" ht="13.5" customHeight="1">
      <c r="A965" s="32"/>
      <c r="B965" s="32"/>
      <c r="C965" s="32"/>
      <c r="D965" s="32"/>
      <c r="E965" s="32"/>
      <c r="F965" s="32"/>
      <c r="G965" s="32"/>
      <c r="H965" s="32"/>
      <c r="I965" s="32"/>
      <c r="J965" s="32"/>
      <c r="K965" s="32"/>
      <c r="L965" s="32"/>
      <c r="M965" s="32"/>
      <c r="N965" s="32"/>
      <c r="O965" s="32"/>
      <c r="P965" s="32"/>
      <c r="Q965" s="32"/>
      <c r="R965" s="32"/>
      <c r="S965" s="32"/>
      <c r="T965" s="32"/>
      <c r="U965" s="32"/>
      <c r="V965" s="32"/>
      <c r="W965" s="32"/>
      <c r="X965" s="32"/>
      <c r="Y965" s="32"/>
      <c r="Z965" s="32"/>
    </row>
    <row r="966" spans="1:26" ht="13.5" customHeight="1">
      <c r="A966" s="32"/>
      <c r="B966" s="32"/>
      <c r="C966" s="32"/>
      <c r="D966" s="32"/>
      <c r="E966" s="32"/>
      <c r="F966" s="32"/>
      <c r="G966" s="32"/>
      <c r="H966" s="32"/>
      <c r="I966" s="32"/>
      <c r="J966" s="32"/>
      <c r="K966" s="32"/>
      <c r="L966" s="32"/>
      <c r="M966" s="32"/>
      <c r="N966" s="32"/>
      <c r="O966" s="32"/>
      <c r="P966" s="32"/>
      <c r="Q966" s="32"/>
      <c r="R966" s="32"/>
      <c r="S966" s="32"/>
      <c r="T966" s="32"/>
      <c r="U966" s="32"/>
      <c r="V966" s="32"/>
      <c r="W966" s="32"/>
      <c r="X966" s="32"/>
      <c r="Y966" s="32"/>
      <c r="Z966" s="32"/>
    </row>
    <row r="967" spans="1:26" ht="13.5" customHeight="1">
      <c r="A967" s="32"/>
      <c r="B967" s="32"/>
      <c r="C967" s="32"/>
      <c r="D967" s="32"/>
      <c r="E967" s="32"/>
      <c r="F967" s="32"/>
      <c r="G967" s="32"/>
      <c r="H967" s="32"/>
      <c r="I967" s="32"/>
      <c r="J967" s="32"/>
      <c r="K967" s="32"/>
      <c r="L967" s="32"/>
      <c r="M967" s="32"/>
      <c r="N967" s="32"/>
      <c r="O967" s="32"/>
      <c r="P967" s="32"/>
      <c r="Q967" s="32"/>
      <c r="R967" s="32"/>
      <c r="S967" s="32"/>
      <c r="T967" s="32"/>
      <c r="U967" s="32"/>
      <c r="V967" s="32"/>
      <c r="W967" s="32"/>
      <c r="X967" s="32"/>
      <c r="Y967" s="32"/>
      <c r="Z967" s="32"/>
    </row>
    <row r="968" spans="1:26" ht="13.5" customHeight="1">
      <c r="A968" s="32"/>
      <c r="B968" s="32"/>
      <c r="C968" s="32"/>
      <c r="D968" s="32"/>
      <c r="E968" s="32"/>
      <c r="F968" s="32"/>
      <c r="G968" s="32"/>
      <c r="H968" s="32"/>
      <c r="I968" s="32"/>
      <c r="J968" s="32"/>
      <c r="K968" s="32"/>
      <c r="L968" s="32"/>
      <c r="M968" s="32"/>
      <c r="N968" s="32"/>
      <c r="O968" s="32"/>
      <c r="P968" s="32"/>
      <c r="Q968" s="32"/>
      <c r="R968" s="32"/>
      <c r="S968" s="32"/>
      <c r="T968" s="32"/>
      <c r="U968" s="32"/>
      <c r="V968" s="32"/>
      <c r="W968" s="32"/>
      <c r="X968" s="32"/>
      <c r="Y968" s="32"/>
      <c r="Z968" s="32"/>
    </row>
    <row r="969" spans="1:26" ht="13.5" customHeight="1">
      <c r="A969" s="32"/>
      <c r="B969" s="32"/>
      <c r="C969" s="32"/>
      <c r="D969" s="32"/>
      <c r="E969" s="32"/>
      <c r="F969" s="32"/>
      <c r="G969" s="32"/>
      <c r="H969" s="32"/>
      <c r="I969" s="32"/>
      <c r="J969" s="32"/>
      <c r="K969" s="32"/>
      <c r="L969" s="32"/>
      <c r="M969" s="32"/>
      <c r="N969" s="32"/>
      <c r="O969" s="32"/>
      <c r="P969" s="32"/>
      <c r="Q969" s="32"/>
      <c r="R969" s="32"/>
      <c r="S969" s="32"/>
      <c r="T969" s="32"/>
      <c r="U969" s="32"/>
      <c r="V969" s="32"/>
      <c r="W969" s="32"/>
      <c r="X969" s="32"/>
      <c r="Y969" s="32"/>
      <c r="Z969" s="32"/>
    </row>
    <row r="970" spans="1:26" ht="13.5" customHeight="1">
      <c r="A970" s="32"/>
      <c r="B970" s="32"/>
      <c r="C970" s="32"/>
      <c r="D970" s="32"/>
      <c r="E970" s="32"/>
      <c r="F970" s="32"/>
      <c r="G970" s="32"/>
      <c r="H970" s="32"/>
      <c r="I970" s="32"/>
      <c r="J970" s="32"/>
      <c r="K970" s="32"/>
      <c r="L970" s="32"/>
      <c r="M970" s="32"/>
      <c r="N970" s="32"/>
      <c r="O970" s="32"/>
      <c r="P970" s="32"/>
      <c r="Q970" s="32"/>
      <c r="R970" s="32"/>
      <c r="S970" s="32"/>
      <c r="T970" s="32"/>
      <c r="U970" s="32"/>
      <c r="V970" s="32"/>
      <c r="W970" s="32"/>
      <c r="X970" s="32"/>
      <c r="Y970" s="32"/>
      <c r="Z970" s="32"/>
    </row>
    <row r="971" spans="1:26" ht="13.5" customHeight="1">
      <c r="A971" s="32"/>
      <c r="B971" s="32"/>
      <c r="C971" s="32"/>
      <c r="D971" s="32"/>
      <c r="E971" s="32"/>
      <c r="F971" s="32"/>
      <c r="G971" s="32"/>
      <c r="H971" s="32"/>
      <c r="I971" s="32"/>
      <c r="J971" s="32"/>
      <c r="K971" s="32"/>
      <c r="L971" s="32"/>
      <c r="M971" s="32"/>
      <c r="N971" s="32"/>
      <c r="O971" s="32"/>
      <c r="P971" s="32"/>
      <c r="Q971" s="32"/>
      <c r="R971" s="32"/>
      <c r="S971" s="32"/>
      <c r="T971" s="32"/>
      <c r="U971" s="32"/>
      <c r="V971" s="32"/>
      <c r="W971" s="32"/>
      <c r="X971" s="32"/>
      <c r="Y971" s="32"/>
      <c r="Z971" s="32"/>
    </row>
    <row r="972" spans="1:26" ht="13.5" customHeight="1">
      <c r="A972" s="32"/>
      <c r="B972" s="32"/>
      <c r="C972" s="32"/>
      <c r="D972" s="32"/>
      <c r="E972" s="32"/>
      <c r="F972" s="32"/>
      <c r="G972" s="32"/>
      <c r="H972" s="32"/>
      <c r="I972" s="32"/>
      <c r="J972" s="32"/>
      <c r="K972" s="32"/>
      <c r="L972" s="32"/>
      <c r="M972" s="32"/>
      <c r="N972" s="32"/>
      <c r="O972" s="32"/>
      <c r="P972" s="32"/>
      <c r="Q972" s="32"/>
      <c r="R972" s="32"/>
      <c r="S972" s="32"/>
      <c r="T972" s="32"/>
      <c r="U972" s="32"/>
      <c r="V972" s="32"/>
      <c r="W972" s="32"/>
      <c r="X972" s="32"/>
      <c r="Y972" s="32"/>
      <c r="Z972" s="32"/>
    </row>
    <row r="973" spans="1:26" ht="13.5" customHeight="1">
      <c r="A973" s="32"/>
      <c r="B973" s="32"/>
      <c r="C973" s="32"/>
      <c r="D973" s="32"/>
      <c r="E973" s="32"/>
      <c r="F973" s="32"/>
      <c r="G973" s="32"/>
      <c r="H973" s="32"/>
      <c r="I973" s="32"/>
      <c r="J973" s="32"/>
      <c r="K973" s="32"/>
      <c r="L973" s="32"/>
      <c r="M973" s="32"/>
      <c r="N973" s="32"/>
      <c r="O973" s="32"/>
      <c r="P973" s="32"/>
      <c r="Q973" s="32"/>
      <c r="R973" s="32"/>
      <c r="S973" s="32"/>
      <c r="T973" s="32"/>
      <c r="U973" s="32"/>
      <c r="V973" s="32"/>
      <c r="W973" s="32"/>
      <c r="X973" s="32"/>
      <c r="Y973" s="32"/>
      <c r="Z973" s="32"/>
    </row>
    <row r="974" spans="1:26" ht="13.5" customHeight="1">
      <c r="A974" s="32"/>
      <c r="B974" s="32"/>
      <c r="C974" s="32"/>
      <c r="D974" s="32"/>
      <c r="E974" s="32"/>
      <c r="F974" s="32"/>
      <c r="G974" s="32"/>
      <c r="H974" s="32"/>
      <c r="I974" s="32"/>
      <c r="J974" s="32"/>
      <c r="K974" s="32"/>
      <c r="L974" s="32"/>
      <c r="M974" s="32"/>
      <c r="N974" s="32"/>
      <c r="O974" s="32"/>
      <c r="P974" s="32"/>
      <c r="Q974" s="32"/>
      <c r="R974" s="32"/>
      <c r="S974" s="32"/>
      <c r="T974" s="32"/>
      <c r="U974" s="32"/>
      <c r="V974" s="32"/>
      <c r="W974" s="32"/>
      <c r="X974" s="32"/>
      <c r="Y974" s="32"/>
      <c r="Z974" s="32"/>
    </row>
    <row r="975" spans="1:26" ht="13.5" customHeight="1">
      <c r="A975" s="32"/>
      <c r="B975" s="32"/>
      <c r="C975" s="32"/>
      <c r="D975" s="32"/>
      <c r="E975" s="32"/>
      <c r="F975" s="32"/>
      <c r="G975" s="32"/>
      <c r="H975" s="32"/>
      <c r="I975" s="32"/>
      <c r="J975" s="32"/>
      <c r="K975" s="32"/>
      <c r="L975" s="32"/>
      <c r="M975" s="32"/>
      <c r="N975" s="32"/>
      <c r="O975" s="32"/>
      <c r="P975" s="32"/>
      <c r="Q975" s="32"/>
      <c r="R975" s="32"/>
      <c r="S975" s="32"/>
      <c r="T975" s="32"/>
      <c r="U975" s="32"/>
      <c r="V975" s="32"/>
      <c r="W975" s="32"/>
      <c r="X975" s="32"/>
      <c r="Y975" s="32"/>
      <c r="Z975" s="32"/>
    </row>
    <row r="976" spans="1:26" ht="13.5" customHeight="1">
      <c r="A976" s="32"/>
      <c r="B976" s="32"/>
      <c r="C976" s="32"/>
      <c r="D976" s="32"/>
      <c r="E976" s="32"/>
      <c r="F976" s="32"/>
      <c r="G976" s="32"/>
      <c r="H976" s="32"/>
      <c r="I976" s="32"/>
      <c r="J976" s="32"/>
      <c r="K976" s="32"/>
      <c r="L976" s="32"/>
      <c r="M976" s="32"/>
      <c r="N976" s="32"/>
      <c r="O976" s="32"/>
      <c r="P976" s="32"/>
      <c r="Q976" s="32"/>
      <c r="R976" s="32"/>
      <c r="S976" s="32"/>
      <c r="T976" s="32"/>
      <c r="U976" s="32"/>
      <c r="V976" s="32"/>
      <c r="W976" s="32"/>
      <c r="X976" s="32"/>
      <c r="Y976" s="32"/>
      <c r="Z976" s="32"/>
    </row>
    <row r="977" spans="1:26" ht="13.5" customHeight="1">
      <c r="A977" s="32"/>
      <c r="B977" s="32"/>
      <c r="C977" s="32"/>
      <c r="D977" s="32"/>
      <c r="E977" s="32"/>
      <c r="F977" s="32"/>
      <c r="G977" s="32"/>
      <c r="H977" s="32"/>
      <c r="I977" s="32"/>
      <c r="J977" s="32"/>
      <c r="K977" s="32"/>
      <c r="L977" s="32"/>
      <c r="M977" s="32"/>
      <c r="N977" s="32"/>
      <c r="O977" s="32"/>
      <c r="P977" s="32"/>
      <c r="Q977" s="32"/>
      <c r="R977" s="32"/>
      <c r="S977" s="32"/>
      <c r="T977" s="32"/>
      <c r="U977" s="32"/>
      <c r="V977" s="32"/>
      <c r="W977" s="32"/>
      <c r="X977" s="32"/>
      <c r="Y977" s="32"/>
      <c r="Z977" s="32"/>
    </row>
    <row r="978" spans="1:26" ht="13.5" customHeight="1">
      <c r="A978" s="32"/>
      <c r="B978" s="32"/>
      <c r="C978" s="32"/>
      <c r="D978" s="32"/>
      <c r="E978" s="32"/>
      <c r="F978" s="32"/>
      <c r="G978" s="32"/>
      <c r="H978" s="32"/>
      <c r="I978" s="32"/>
      <c r="J978" s="32"/>
      <c r="K978" s="32"/>
      <c r="L978" s="32"/>
      <c r="M978" s="32"/>
      <c r="N978" s="32"/>
      <c r="O978" s="32"/>
      <c r="P978" s="32"/>
      <c r="Q978" s="32"/>
      <c r="R978" s="32"/>
      <c r="S978" s="32"/>
      <c r="T978" s="32"/>
      <c r="U978" s="32"/>
      <c r="V978" s="32"/>
      <c r="W978" s="32"/>
      <c r="X978" s="32"/>
      <c r="Y978" s="32"/>
      <c r="Z978" s="32"/>
    </row>
    <row r="979" spans="1:26" ht="13.5" customHeight="1">
      <c r="A979" s="32"/>
      <c r="B979" s="32"/>
      <c r="C979" s="32"/>
      <c r="D979" s="32"/>
      <c r="E979" s="32"/>
      <c r="F979" s="32"/>
      <c r="G979" s="32"/>
      <c r="H979" s="32"/>
      <c r="I979" s="32"/>
      <c r="J979" s="32"/>
      <c r="K979" s="32"/>
      <c r="L979" s="32"/>
      <c r="M979" s="32"/>
      <c r="N979" s="32"/>
      <c r="O979" s="32"/>
      <c r="P979" s="32"/>
      <c r="Q979" s="32"/>
      <c r="R979" s="32"/>
      <c r="S979" s="32"/>
      <c r="T979" s="32"/>
      <c r="U979" s="32"/>
      <c r="V979" s="32"/>
      <c r="W979" s="32"/>
      <c r="X979" s="32"/>
      <c r="Y979" s="32"/>
      <c r="Z979" s="32"/>
    </row>
    <row r="980" spans="1:26" ht="13.5" customHeight="1">
      <c r="A980" s="32"/>
      <c r="B980" s="32"/>
      <c r="C980" s="32"/>
      <c r="D980" s="32"/>
      <c r="E980" s="32"/>
      <c r="F980" s="32"/>
      <c r="G980" s="32"/>
      <c r="H980" s="32"/>
      <c r="I980" s="32"/>
      <c r="J980" s="32"/>
      <c r="K980" s="32"/>
      <c r="L980" s="32"/>
      <c r="M980" s="32"/>
      <c r="N980" s="32"/>
      <c r="O980" s="32"/>
      <c r="P980" s="32"/>
      <c r="Q980" s="32"/>
      <c r="R980" s="32"/>
      <c r="S980" s="32"/>
      <c r="T980" s="32"/>
      <c r="U980" s="32"/>
      <c r="V980" s="32"/>
      <c r="W980" s="32"/>
      <c r="X980" s="32"/>
      <c r="Y980" s="32"/>
      <c r="Z980" s="32"/>
    </row>
    <row r="981" spans="1:26" ht="13.5" customHeight="1">
      <c r="A981" s="32"/>
      <c r="B981" s="32"/>
      <c r="C981" s="32"/>
      <c r="D981" s="32"/>
      <c r="E981" s="32"/>
      <c r="F981" s="32"/>
      <c r="G981" s="32"/>
      <c r="H981" s="32"/>
      <c r="I981" s="32"/>
      <c r="J981" s="32"/>
      <c r="K981" s="32"/>
      <c r="L981" s="32"/>
      <c r="M981" s="32"/>
      <c r="N981" s="32"/>
      <c r="O981" s="32"/>
      <c r="P981" s="32"/>
      <c r="Q981" s="32"/>
      <c r="R981" s="32"/>
      <c r="S981" s="32"/>
      <c r="T981" s="32"/>
      <c r="U981" s="32"/>
      <c r="V981" s="32"/>
      <c r="W981" s="32"/>
      <c r="X981" s="32"/>
      <c r="Y981" s="32"/>
      <c r="Z981" s="32"/>
    </row>
    <row r="982" spans="1:26" ht="13.5" customHeight="1">
      <c r="A982" s="32"/>
      <c r="B982" s="32"/>
      <c r="C982" s="32"/>
      <c r="D982" s="32"/>
      <c r="E982" s="32"/>
      <c r="F982" s="32"/>
      <c r="G982" s="32"/>
      <c r="H982" s="32"/>
      <c r="I982" s="32"/>
      <c r="J982" s="32"/>
      <c r="K982" s="32"/>
      <c r="L982" s="32"/>
      <c r="M982" s="32"/>
      <c r="N982" s="32"/>
      <c r="O982" s="32"/>
      <c r="P982" s="32"/>
      <c r="Q982" s="32"/>
      <c r="R982" s="32"/>
      <c r="S982" s="32"/>
      <c r="T982" s="32"/>
      <c r="U982" s="32"/>
      <c r="V982" s="32"/>
      <c r="W982" s="32"/>
      <c r="X982" s="32"/>
      <c r="Y982" s="32"/>
      <c r="Z982" s="32"/>
    </row>
    <row r="983" spans="1:26" ht="13.5" customHeight="1">
      <c r="A983" s="32"/>
      <c r="B983" s="32"/>
      <c r="C983" s="32"/>
      <c r="D983" s="32"/>
      <c r="E983" s="32"/>
      <c r="F983" s="32"/>
      <c r="G983" s="32"/>
      <c r="H983" s="32"/>
      <c r="I983" s="32"/>
      <c r="J983" s="32"/>
      <c r="K983" s="32"/>
      <c r="L983" s="32"/>
      <c r="M983" s="32"/>
      <c r="N983" s="32"/>
      <c r="O983" s="32"/>
      <c r="P983" s="32"/>
      <c r="Q983" s="32"/>
      <c r="R983" s="32"/>
      <c r="S983" s="32"/>
      <c r="T983" s="32"/>
      <c r="U983" s="32"/>
      <c r="V983" s="32"/>
      <c r="W983" s="32"/>
      <c r="X983" s="32"/>
      <c r="Y983" s="32"/>
      <c r="Z983" s="32"/>
    </row>
    <row r="984" spans="1:26" ht="13.5" customHeight="1">
      <c r="A984" s="32"/>
      <c r="B984" s="32"/>
      <c r="C984" s="32"/>
      <c r="D984" s="32"/>
      <c r="E984" s="32"/>
      <c r="F984" s="32"/>
      <c r="G984" s="32"/>
      <c r="H984" s="32"/>
      <c r="I984" s="32"/>
      <c r="J984" s="32"/>
      <c r="K984" s="32"/>
      <c r="L984" s="32"/>
      <c r="M984" s="32"/>
      <c r="N984" s="32"/>
      <c r="O984" s="32"/>
      <c r="P984" s="32"/>
      <c r="Q984" s="32"/>
      <c r="R984" s="32"/>
      <c r="S984" s="32"/>
      <c r="T984" s="32"/>
      <c r="U984" s="32"/>
      <c r="V984" s="32"/>
      <c r="W984" s="32"/>
      <c r="X984" s="32"/>
      <c r="Y984" s="32"/>
      <c r="Z984" s="32"/>
    </row>
    <row r="985" spans="1:26" ht="13.5" customHeight="1">
      <c r="A985" s="32"/>
      <c r="B985" s="32"/>
      <c r="C985" s="32"/>
      <c r="D985" s="32"/>
      <c r="E985" s="32"/>
      <c r="F985" s="32"/>
      <c r="G985" s="32"/>
      <c r="H985" s="32"/>
      <c r="I985" s="32"/>
      <c r="J985" s="32"/>
      <c r="K985" s="32"/>
      <c r="L985" s="32"/>
      <c r="M985" s="32"/>
      <c r="N985" s="32"/>
      <c r="O985" s="32"/>
      <c r="P985" s="32"/>
      <c r="Q985" s="32"/>
      <c r="R985" s="32"/>
      <c r="S985" s="32"/>
      <c r="T985" s="32"/>
      <c r="U985" s="32"/>
      <c r="V985" s="32"/>
      <c r="W985" s="32"/>
      <c r="X985" s="32"/>
      <c r="Y985" s="32"/>
      <c r="Z985" s="32"/>
    </row>
    <row r="986" spans="1:26" ht="13.5" customHeight="1">
      <c r="A986" s="32"/>
      <c r="B986" s="32"/>
      <c r="C986" s="32"/>
      <c r="D986" s="32"/>
      <c r="E986" s="32"/>
      <c r="F986" s="32"/>
      <c r="G986" s="32"/>
      <c r="H986" s="32"/>
      <c r="I986" s="32"/>
      <c r="J986" s="32"/>
      <c r="K986" s="32"/>
      <c r="L986" s="32"/>
      <c r="M986" s="32"/>
      <c r="N986" s="32"/>
      <c r="O986" s="32"/>
      <c r="P986" s="32"/>
      <c r="Q986" s="32"/>
      <c r="R986" s="32"/>
      <c r="S986" s="32"/>
      <c r="T986" s="32"/>
      <c r="U986" s="32"/>
      <c r="V986" s="32"/>
      <c r="W986" s="32"/>
      <c r="X986" s="32"/>
      <c r="Y986" s="32"/>
      <c r="Z986" s="32"/>
    </row>
    <row r="987" spans="1:26" ht="13.5" customHeight="1">
      <c r="A987" s="32"/>
      <c r="B987" s="32"/>
      <c r="C987" s="32"/>
      <c r="D987" s="32"/>
      <c r="E987" s="32"/>
      <c r="F987" s="32"/>
      <c r="G987" s="32"/>
      <c r="H987" s="32"/>
      <c r="I987" s="32"/>
      <c r="J987" s="32"/>
      <c r="K987" s="32"/>
      <c r="L987" s="32"/>
      <c r="M987" s="32"/>
      <c r="N987" s="32"/>
      <c r="O987" s="32"/>
      <c r="P987" s="32"/>
      <c r="Q987" s="32"/>
      <c r="R987" s="32"/>
      <c r="S987" s="32"/>
      <c r="T987" s="32"/>
      <c r="U987" s="32"/>
      <c r="V987" s="32"/>
      <c r="W987" s="32"/>
      <c r="X987" s="32"/>
      <c r="Y987" s="32"/>
      <c r="Z987" s="32"/>
    </row>
    <row r="988" spans="1:26" ht="13.5" customHeight="1">
      <c r="A988" s="32"/>
      <c r="B988" s="32"/>
      <c r="C988" s="32"/>
      <c r="D988" s="32"/>
      <c r="E988" s="32"/>
      <c r="F988" s="32"/>
      <c r="G988" s="32"/>
      <c r="H988" s="32"/>
      <c r="I988" s="32"/>
      <c r="J988" s="32"/>
      <c r="K988" s="32"/>
      <c r="L988" s="32"/>
      <c r="M988" s="32"/>
      <c r="N988" s="32"/>
      <c r="O988" s="32"/>
      <c r="P988" s="32"/>
      <c r="Q988" s="32"/>
      <c r="R988" s="32"/>
      <c r="S988" s="32"/>
      <c r="T988" s="32"/>
      <c r="U988" s="32"/>
      <c r="V988" s="32"/>
      <c r="W988" s="32"/>
      <c r="X988" s="32"/>
      <c r="Y988" s="32"/>
      <c r="Z988" s="32"/>
    </row>
    <row r="989" spans="1:26" ht="13.5" customHeight="1">
      <c r="A989" s="32"/>
      <c r="B989" s="32"/>
      <c r="C989" s="32"/>
      <c r="D989" s="32"/>
      <c r="E989" s="32"/>
      <c r="F989" s="32"/>
      <c r="G989" s="32"/>
      <c r="H989" s="32"/>
      <c r="I989" s="32"/>
      <c r="J989" s="32"/>
      <c r="K989" s="32"/>
      <c r="L989" s="32"/>
      <c r="M989" s="32"/>
      <c r="N989" s="32"/>
      <c r="O989" s="32"/>
      <c r="P989" s="32"/>
      <c r="Q989" s="32"/>
      <c r="R989" s="32"/>
      <c r="S989" s="32"/>
      <c r="T989" s="32"/>
      <c r="U989" s="32"/>
      <c r="V989" s="32"/>
      <c r="W989" s="32"/>
      <c r="X989" s="32"/>
      <c r="Y989" s="32"/>
      <c r="Z989" s="32"/>
    </row>
    <row r="990" spans="1:26" ht="13.5" customHeight="1">
      <c r="A990" s="32"/>
      <c r="B990" s="32"/>
      <c r="C990" s="32"/>
      <c r="D990" s="32"/>
      <c r="E990" s="32"/>
      <c r="F990" s="32"/>
      <c r="G990" s="32"/>
      <c r="H990" s="32"/>
      <c r="I990" s="32"/>
      <c r="J990" s="32"/>
      <c r="K990" s="32"/>
      <c r="L990" s="32"/>
      <c r="M990" s="32"/>
      <c r="N990" s="32"/>
      <c r="O990" s="32"/>
      <c r="P990" s="32"/>
      <c r="Q990" s="32"/>
      <c r="R990" s="32"/>
      <c r="S990" s="32"/>
      <c r="T990" s="32"/>
      <c r="U990" s="32"/>
      <c r="V990" s="32"/>
      <c r="W990" s="32"/>
      <c r="X990" s="32"/>
      <c r="Y990" s="32"/>
      <c r="Z990" s="32"/>
    </row>
    <row r="991" spans="1:26" ht="13.5" customHeight="1">
      <c r="A991" s="32"/>
      <c r="B991" s="32"/>
      <c r="C991" s="32"/>
      <c r="D991" s="32"/>
      <c r="E991" s="32"/>
      <c r="F991" s="32"/>
      <c r="G991" s="32"/>
      <c r="H991" s="32"/>
      <c r="I991" s="32"/>
      <c r="J991" s="32"/>
      <c r="K991" s="32"/>
      <c r="L991" s="32"/>
      <c r="M991" s="32"/>
      <c r="N991" s="32"/>
      <c r="O991" s="32"/>
      <c r="P991" s="32"/>
      <c r="Q991" s="32"/>
      <c r="R991" s="32"/>
      <c r="S991" s="32"/>
      <c r="T991" s="32"/>
      <c r="U991" s="32"/>
      <c r="V991" s="32"/>
      <c r="W991" s="32"/>
      <c r="X991" s="32"/>
      <c r="Y991" s="32"/>
      <c r="Z991" s="32"/>
    </row>
    <row r="992" spans="1:26" ht="13.5" customHeight="1">
      <c r="A992" s="32"/>
      <c r="B992" s="32"/>
      <c r="C992" s="32"/>
      <c r="D992" s="32"/>
      <c r="E992" s="32"/>
      <c r="F992" s="32"/>
      <c r="G992" s="32"/>
      <c r="H992" s="32"/>
      <c r="I992" s="32"/>
      <c r="J992" s="32"/>
      <c r="K992" s="32"/>
      <c r="L992" s="32"/>
      <c r="M992" s="32"/>
      <c r="N992" s="32"/>
      <c r="O992" s="32"/>
      <c r="P992" s="32"/>
      <c r="Q992" s="32"/>
      <c r="R992" s="32"/>
      <c r="S992" s="32"/>
      <c r="T992" s="32"/>
      <c r="U992" s="32"/>
      <c r="V992" s="32"/>
      <c r="W992" s="32"/>
      <c r="X992" s="32"/>
      <c r="Y992" s="32"/>
      <c r="Z992" s="32"/>
    </row>
    <row r="993" spans="1:26" ht="13.5" customHeight="1">
      <c r="A993" s="32"/>
      <c r="B993" s="32"/>
      <c r="C993" s="32"/>
      <c r="D993" s="32"/>
      <c r="E993" s="32"/>
      <c r="F993" s="32"/>
      <c r="G993" s="32"/>
      <c r="H993" s="32"/>
      <c r="I993" s="32"/>
      <c r="J993" s="32"/>
      <c r="K993" s="32"/>
      <c r="L993" s="32"/>
      <c r="M993" s="32"/>
      <c r="N993" s="32"/>
      <c r="O993" s="32"/>
      <c r="P993" s="32"/>
      <c r="Q993" s="32"/>
      <c r="R993" s="32"/>
      <c r="S993" s="32"/>
      <c r="T993" s="32"/>
      <c r="U993" s="32"/>
      <c r="V993" s="32"/>
      <c r="W993" s="32"/>
      <c r="X993" s="32"/>
      <c r="Y993" s="32"/>
      <c r="Z993" s="32"/>
    </row>
    <row r="994" spans="1:26" ht="13.5" customHeight="1">
      <c r="A994" s="32"/>
      <c r="B994" s="32"/>
      <c r="C994" s="32"/>
      <c r="D994" s="32"/>
      <c r="E994" s="32"/>
      <c r="F994" s="32"/>
      <c r="G994" s="32"/>
      <c r="H994" s="32"/>
      <c r="I994" s="32"/>
      <c r="J994" s="32"/>
      <c r="K994" s="32"/>
      <c r="L994" s="32"/>
      <c r="M994" s="32"/>
      <c r="N994" s="32"/>
      <c r="O994" s="32"/>
      <c r="P994" s="32"/>
      <c r="Q994" s="32"/>
      <c r="R994" s="32"/>
      <c r="S994" s="32"/>
      <c r="T994" s="32"/>
      <c r="U994" s="32"/>
      <c r="V994" s="32"/>
      <c r="W994" s="32"/>
      <c r="X994" s="32"/>
      <c r="Y994" s="32"/>
      <c r="Z994" s="32"/>
    </row>
    <row r="995" spans="1:26" ht="13.5" customHeight="1">
      <c r="A995" s="32"/>
      <c r="B995" s="32"/>
      <c r="C995" s="32"/>
      <c r="D995" s="32"/>
      <c r="E995" s="32"/>
      <c r="F995" s="32"/>
      <c r="G995" s="32"/>
      <c r="H995" s="32"/>
      <c r="I995" s="32"/>
      <c r="J995" s="32"/>
      <c r="K995" s="32"/>
      <c r="L995" s="32"/>
      <c r="M995" s="32"/>
      <c r="N995" s="32"/>
      <c r="O995" s="32"/>
      <c r="P995" s="32"/>
      <c r="Q995" s="32"/>
      <c r="R995" s="32"/>
      <c r="S995" s="32"/>
      <c r="T995" s="32"/>
      <c r="U995" s="32"/>
      <c r="V995" s="32"/>
      <c r="W995" s="32"/>
      <c r="X995" s="32"/>
      <c r="Y995" s="32"/>
      <c r="Z995" s="32"/>
    </row>
    <row r="996" spans="1:26" ht="13.5" customHeight="1">
      <c r="A996" s="32"/>
      <c r="B996" s="32"/>
      <c r="C996" s="32"/>
      <c r="D996" s="32"/>
      <c r="E996" s="32"/>
      <c r="F996" s="32"/>
      <c r="G996" s="32"/>
      <c r="H996" s="32"/>
      <c r="I996" s="32"/>
      <c r="J996" s="32"/>
      <c r="K996" s="32"/>
      <c r="L996" s="32"/>
      <c r="M996" s="32"/>
      <c r="N996" s="32"/>
      <c r="O996" s="32"/>
      <c r="P996" s="32"/>
      <c r="Q996" s="32"/>
      <c r="R996" s="32"/>
      <c r="S996" s="32"/>
      <c r="T996" s="32"/>
      <c r="U996" s="32"/>
      <c r="V996" s="32"/>
      <c r="W996" s="32"/>
      <c r="X996" s="32"/>
      <c r="Y996" s="32"/>
      <c r="Z996" s="32"/>
    </row>
    <row r="997" spans="1:26" ht="13.5" customHeight="1">
      <c r="A997" s="32"/>
      <c r="B997" s="32"/>
      <c r="C997" s="32"/>
      <c r="D997" s="32"/>
      <c r="E997" s="32"/>
      <c r="F997" s="32"/>
      <c r="G997" s="32"/>
      <c r="H997" s="32"/>
      <c r="I997" s="32"/>
      <c r="J997" s="32"/>
      <c r="K997" s="32"/>
      <c r="L997" s="32"/>
      <c r="M997" s="32"/>
      <c r="N997" s="32"/>
      <c r="O997" s="32"/>
      <c r="P997" s="32"/>
      <c r="Q997" s="32"/>
      <c r="R997" s="32"/>
      <c r="S997" s="32"/>
      <c r="T997" s="32"/>
      <c r="U997" s="32"/>
      <c r="V997" s="32"/>
      <c r="W997" s="32"/>
      <c r="X997" s="32"/>
      <c r="Y997" s="32"/>
      <c r="Z997" s="32"/>
    </row>
    <row r="998" spans="1:26" ht="13.5" customHeight="1">
      <c r="A998" s="32"/>
      <c r="B998" s="32"/>
      <c r="C998" s="32"/>
      <c r="D998" s="32"/>
      <c r="E998" s="32"/>
      <c r="F998" s="32"/>
      <c r="G998" s="32"/>
      <c r="H998" s="32"/>
      <c r="I998" s="32"/>
      <c r="J998" s="32"/>
      <c r="K998" s="32"/>
      <c r="L998" s="32"/>
      <c r="M998" s="32"/>
      <c r="N998" s="32"/>
      <c r="O998" s="32"/>
      <c r="P998" s="32"/>
      <c r="Q998" s="32"/>
      <c r="R998" s="32"/>
      <c r="S998" s="32"/>
      <c r="T998" s="32"/>
      <c r="U998" s="32"/>
      <c r="V998" s="32"/>
      <c r="W998" s="32"/>
      <c r="X998" s="32"/>
      <c r="Y998" s="32"/>
      <c r="Z998" s="32"/>
    </row>
    <row r="999" spans="1:26" ht="13.5" customHeight="1">
      <c r="A999" s="32"/>
      <c r="B999" s="32"/>
      <c r="C999" s="32"/>
      <c r="D999" s="32"/>
      <c r="E999" s="32"/>
      <c r="F999" s="32"/>
      <c r="G999" s="32"/>
      <c r="H999" s="32"/>
      <c r="I999" s="32"/>
      <c r="J999" s="32"/>
      <c r="K999" s="32"/>
      <c r="L999" s="32"/>
      <c r="M999" s="32"/>
      <c r="N999" s="32"/>
      <c r="O999" s="32"/>
      <c r="P999" s="32"/>
      <c r="Q999" s="32"/>
      <c r="R999" s="32"/>
      <c r="S999" s="32"/>
      <c r="T999" s="32"/>
      <c r="U999" s="32"/>
      <c r="V999" s="32"/>
      <c r="W999" s="32"/>
      <c r="X999" s="32"/>
      <c r="Y999" s="32"/>
      <c r="Z999" s="32"/>
    </row>
    <row r="1000" spans="1:26" ht="13.5" customHeight="1">
      <c r="A1000" s="32"/>
      <c r="B1000" s="32"/>
      <c r="C1000" s="32"/>
      <c r="D1000" s="32"/>
      <c r="E1000" s="32"/>
      <c r="F1000" s="32"/>
      <c r="G1000" s="32"/>
      <c r="H1000" s="32"/>
      <c r="I1000" s="32"/>
      <c r="J1000" s="32"/>
      <c r="K1000" s="32"/>
      <c r="L1000" s="32"/>
      <c r="M1000" s="32"/>
      <c r="N1000" s="32"/>
      <c r="O1000" s="32"/>
      <c r="P1000" s="32"/>
      <c r="Q1000" s="32"/>
      <c r="R1000" s="32"/>
      <c r="S1000" s="32"/>
      <c r="T1000" s="32"/>
      <c r="U1000" s="32"/>
      <c r="V1000" s="32"/>
      <c r="W1000" s="32"/>
      <c r="X1000" s="32"/>
      <c r="Y1000" s="32"/>
      <c r="Z1000" s="32"/>
    </row>
    <row r="1001" spans="1:26" ht="13.5" customHeight="1">
      <c r="A1001" s="32"/>
      <c r="B1001" s="32"/>
      <c r="C1001" s="32"/>
      <c r="D1001" s="32"/>
      <c r="E1001" s="32"/>
      <c r="F1001" s="32"/>
      <c r="G1001" s="32"/>
      <c r="H1001" s="32"/>
      <c r="I1001" s="32"/>
      <c r="J1001" s="32"/>
      <c r="K1001" s="32"/>
      <c r="L1001" s="32"/>
      <c r="M1001" s="32"/>
      <c r="N1001" s="32"/>
      <c r="O1001" s="32"/>
      <c r="P1001" s="32"/>
      <c r="Q1001" s="32"/>
      <c r="R1001" s="32"/>
      <c r="S1001" s="32"/>
      <c r="T1001" s="32"/>
      <c r="U1001" s="32"/>
      <c r="V1001" s="32"/>
      <c r="W1001" s="32"/>
      <c r="X1001" s="32"/>
      <c r="Y1001" s="32"/>
      <c r="Z1001" s="32"/>
    </row>
    <row r="1002" spans="1:26" ht="13.5" customHeight="1">
      <c r="A1002" s="32"/>
      <c r="B1002" s="32"/>
      <c r="C1002" s="32"/>
      <c r="D1002" s="32"/>
      <c r="E1002" s="32"/>
      <c r="F1002" s="32"/>
      <c r="G1002" s="32"/>
      <c r="H1002" s="32"/>
      <c r="I1002" s="32"/>
      <c r="J1002" s="32"/>
      <c r="K1002" s="32"/>
      <c r="L1002" s="32"/>
      <c r="M1002" s="32"/>
      <c r="N1002" s="32"/>
      <c r="O1002" s="32"/>
      <c r="P1002" s="32"/>
      <c r="Q1002" s="32"/>
      <c r="R1002" s="32"/>
      <c r="S1002" s="32"/>
      <c r="T1002" s="32"/>
      <c r="U1002" s="32"/>
      <c r="V1002" s="32"/>
      <c r="W1002" s="32"/>
      <c r="X1002" s="32"/>
      <c r="Y1002" s="32"/>
      <c r="Z1002" s="32"/>
    </row>
    <row r="1003" spans="1:26" ht="13.5" customHeight="1">
      <c r="A1003" s="32"/>
      <c r="B1003" s="32"/>
      <c r="C1003" s="32"/>
      <c r="D1003" s="32"/>
      <c r="E1003" s="32"/>
      <c r="F1003" s="32"/>
      <c r="G1003" s="32"/>
      <c r="H1003" s="32"/>
      <c r="I1003" s="32"/>
      <c r="J1003" s="32"/>
      <c r="K1003" s="32"/>
      <c r="L1003" s="32"/>
      <c r="M1003" s="32"/>
      <c r="N1003" s="32"/>
      <c r="O1003" s="32"/>
      <c r="P1003" s="32"/>
      <c r="Q1003" s="32"/>
      <c r="R1003" s="32"/>
      <c r="S1003" s="32"/>
      <c r="T1003" s="32"/>
      <c r="U1003" s="32"/>
      <c r="V1003" s="32"/>
      <c r="W1003" s="32"/>
      <c r="X1003" s="32"/>
      <c r="Y1003" s="32"/>
      <c r="Z1003" s="32"/>
    </row>
    <row r="1004" spans="1:26" ht="13.5" customHeight="1">
      <c r="A1004" s="32"/>
      <c r="B1004" s="32"/>
      <c r="C1004" s="32"/>
      <c r="D1004" s="32"/>
      <c r="E1004" s="32"/>
      <c r="F1004" s="32"/>
      <c r="G1004" s="32"/>
      <c r="H1004" s="32"/>
      <c r="I1004" s="32"/>
      <c r="J1004" s="32"/>
      <c r="K1004" s="32"/>
      <c r="L1004" s="32"/>
      <c r="M1004" s="32"/>
      <c r="N1004" s="32"/>
      <c r="O1004" s="32"/>
      <c r="P1004" s="32"/>
      <c r="Q1004" s="32"/>
      <c r="R1004" s="32"/>
      <c r="S1004" s="32"/>
      <c r="T1004" s="32"/>
      <c r="U1004" s="32"/>
      <c r="V1004" s="32"/>
      <c r="W1004" s="32"/>
      <c r="X1004" s="32"/>
      <c r="Y1004" s="32"/>
      <c r="Z1004" s="32"/>
    </row>
    <row r="1005" spans="1:26" ht="13.5" customHeight="1">
      <c r="A1005" s="32"/>
      <c r="B1005" s="32"/>
      <c r="C1005" s="32"/>
      <c r="D1005" s="32"/>
      <c r="E1005" s="32"/>
      <c r="F1005" s="32"/>
      <c r="G1005" s="32"/>
      <c r="H1005" s="32"/>
      <c r="I1005" s="32"/>
      <c r="J1005" s="32"/>
      <c r="K1005" s="32"/>
      <c r="L1005" s="32"/>
      <c r="M1005" s="32"/>
      <c r="N1005" s="32"/>
      <c r="O1005" s="32"/>
      <c r="P1005" s="32"/>
      <c r="Q1005" s="32"/>
      <c r="R1005" s="32"/>
      <c r="S1005" s="32"/>
      <c r="T1005" s="32"/>
      <c r="U1005" s="32"/>
      <c r="V1005" s="32"/>
      <c r="W1005" s="32"/>
      <c r="X1005" s="32"/>
      <c r="Y1005" s="32"/>
      <c r="Z1005" s="32"/>
    </row>
    <row r="1006" spans="1:26" ht="13.5" customHeight="1">
      <c r="A1006" s="32"/>
      <c r="B1006" s="32"/>
      <c r="C1006" s="32"/>
      <c r="D1006" s="32"/>
      <c r="E1006" s="32"/>
      <c r="F1006" s="32"/>
      <c r="G1006" s="32"/>
      <c r="H1006" s="32"/>
      <c r="I1006" s="32"/>
      <c r="J1006" s="32"/>
      <c r="K1006" s="32"/>
      <c r="L1006" s="32"/>
      <c r="M1006" s="32"/>
      <c r="N1006" s="32"/>
      <c r="O1006" s="32"/>
      <c r="P1006" s="32"/>
      <c r="Q1006" s="32"/>
      <c r="R1006" s="32"/>
      <c r="S1006" s="32"/>
      <c r="T1006" s="32"/>
      <c r="U1006" s="32"/>
      <c r="V1006" s="32"/>
      <c r="W1006" s="32"/>
      <c r="X1006" s="32"/>
      <c r="Y1006" s="32"/>
      <c r="Z1006" s="32"/>
    </row>
    <row r="1007" spans="1:26" ht="13.5" customHeight="1">
      <c r="A1007" s="32"/>
      <c r="B1007" s="32"/>
      <c r="C1007" s="32"/>
      <c r="D1007" s="32"/>
      <c r="E1007" s="32"/>
      <c r="F1007" s="32"/>
      <c r="G1007" s="32"/>
      <c r="H1007" s="32"/>
      <c r="I1007" s="32"/>
      <c r="J1007" s="32"/>
      <c r="K1007" s="32"/>
      <c r="L1007" s="32"/>
      <c r="M1007" s="32"/>
      <c r="N1007" s="32"/>
      <c r="O1007" s="32"/>
      <c r="P1007" s="32"/>
      <c r="Q1007" s="32"/>
      <c r="R1007" s="32"/>
      <c r="S1007" s="32"/>
      <c r="T1007" s="32"/>
      <c r="U1007" s="32"/>
      <c r="V1007" s="32"/>
      <c r="W1007" s="32"/>
      <c r="X1007" s="32"/>
      <c r="Y1007" s="32"/>
      <c r="Z1007" s="32"/>
    </row>
    <row r="1008" spans="1:26" ht="13.5" customHeight="1">
      <c r="A1008" s="32"/>
      <c r="B1008" s="32"/>
      <c r="C1008" s="32"/>
      <c r="D1008" s="32"/>
      <c r="E1008" s="32"/>
      <c r="F1008" s="32"/>
      <c r="G1008" s="32"/>
      <c r="H1008" s="32"/>
      <c r="I1008" s="32"/>
      <c r="J1008" s="32"/>
      <c r="K1008" s="32"/>
      <c r="L1008" s="32"/>
      <c r="M1008" s="32"/>
      <c r="N1008" s="32"/>
      <c r="O1008" s="32"/>
      <c r="P1008" s="32"/>
      <c r="Q1008" s="32"/>
      <c r="R1008" s="32"/>
      <c r="S1008" s="32"/>
      <c r="T1008" s="32"/>
      <c r="U1008" s="32"/>
      <c r="V1008" s="32"/>
      <c r="W1008" s="32"/>
      <c r="X1008" s="32"/>
      <c r="Y1008" s="32"/>
      <c r="Z1008" s="32"/>
    </row>
    <row r="1009" spans="1:26" ht="13.5" customHeight="1">
      <c r="A1009" s="32"/>
      <c r="B1009" s="32"/>
      <c r="C1009" s="32"/>
      <c r="D1009" s="32"/>
      <c r="E1009" s="32"/>
      <c r="F1009" s="32"/>
      <c r="G1009" s="32"/>
      <c r="H1009" s="32"/>
      <c r="I1009" s="32"/>
      <c r="J1009" s="32"/>
      <c r="K1009" s="32"/>
      <c r="L1009" s="32"/>
      <c r="M1009" s="32"/>
      <c r="N1009" s="32"/>
      <c r="O1009" s="32"/>
      <c r="P1009" s="32"/>
      <c r="Q1009" s="32"/>
      <c r="R1009" s="32"/>
      <c r="S1009" s="32"/>
      <c r="T1009" s="32"/>
      <c r="U1009" s="32"/>
      <c r="V1009" s="32"/>
      <c r="W1009" s="32"/>
      <c r="X1009" s="32"/>
      <c r="Y1009" s="32"/>
      <c r="Z1009" s="32"/>
    </row>
    <row r="1010" spans="1:26" ht="13.5" customHeight="1">
      <c r="A1010" s="32"/>
      <c r="B1010" s="32"/>
      <c r="C1010" s="32"/>
      <c r="D1010" s="32"/>
      <c r="E1010" s="32"/>
      <c r="F1010" s="32"/>
      <c r="G1010" s="32"/>
      <c r="H1010" s="32"/>
      <c r="I1010" s="32"/>
      <c r="J1010" s="32"/>
      <c r="K1010" s="32"/>
      <c r="L1010" s="32"/>
      <c r="M1010" s="32"/>
      <c r="N1010" s="32"/>
      <c r="O1010" s="32"/>
      <c r="P1010" s="32"/>
      <c r="Q1010" s="32"/>
      <c r="R1010" s="32"/>
      <c r="S1010" s="32"/>
      <c r="T1010" s="32"/>
      <c r="U1010" s="32"/>
      <c r="V1010" s="32"/>
      <c r="W1010" s="32"/>
      <c r="X1010" s="32"/>
      <c r="Y1010" s="32"/>
      <c r="Z1010" s="32"/>
    </row>
    <row r="1011" spans="1:26" ht="13.5" customHeight="1">
      <c r="A1011" s="32"/>
      <c r="B1011" s="32"/>
      <c r="C1011" s="32"/>
      <c r="D1011" s="32"/>
      <c r="E1011" s="32"/>
      <c r="F1011" s="32"/>
      <c r="G1011" s="32"/>
      <c r="H1011" s="32"/>
      <c r="I1011" s="32"/>
      <c r="J1011" s="32"/>
      <c r="K1011" s="32"/>
      <c r="L1011" s="32"/>
      <c r="M1011" s="32"/>
      <c r="N1011" s="32"/>
      <c r="O1011" s="32"/>
      <c r="P1011" s="32"/>
      <c r="Q1011" s="32"/>
      <c r="R1011" s="32"/>
      <c r="S1011" s="32"/>
      <c r="T1011" s="32"/>
      <c r="U1011" s="32"/>
      <c r="V1011" s="32"/>
      <c r="W1011" s="32"/>
      <c r="X1011" s="32"/>
      <c r="Y1011" s="32"/>
      <c r="Z1011" s="32"/>
    </row>
    <row r="1012" spans="1:26" ht="13.5" customHeight="1">
      <c r="A1012" s="32"/>
      <c r="B1012" s="32"/>
      <c r="C1012" s="32"/>
      <c r="D1012" s="32"/>
      <c r="E1012" s="32"/>
      <c r="F1012" s="32"/>
      <c r="G1012" s="32"/>
      <c r="H1012" s="32"/>
      <c r="I1012" s="32"/>
      <c r="J1012" s="32"/>
      <c r="K1012" s="32"/>
      <c r="L1012" s="32"/>
      <c r="M1012" s="32"/>
      <c r="N1012" s="32"/>
      <c r="O1012" s="32"/>
      <c r="P1012" s="32"/>
      <c r="Q1012" s="32"/>
      <c r="R1012" s="32"/>
      <c r="S1012" s="32"/>
      <c r="T1012" s="32"/>
      <c r="U1012" s="32"/>
      <c r="V1012" s="32"/>
      <c r="W1012" s="32"/>
      <c r="X1012" s="32"/>
      <c r="Y1012" s="32"/>
      <c r="Z1012" s="32"/>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10.1 Payroll</vt:lpstr>
      <vt:lpstr>10.2 Revenue&amp;Expenditure</vt:lpstr>
      <vt:lpstr>SelectDept</vt:lpstr>
      <vt:lpstr>Level I_Departments</vt:lpstr>
      <vt:lpstr>Level IIandIII_Departments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ACCT</cp:lastModifiedBy>
  <dcterms:created xsi:type="dcterms:W3CDTF">2018-05-11T10:00:25Z</dcterms:created>
  <dcterms:modified xsi:type="dcterms:W3CDTF">2018-08-25T17:21:25Z</dcterms:modified>
</cp:coreProperties>
</file>