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8C4F1C90-05EB-6A55-5F09-09C24B55AC0B}"/>
  <workbookPr codeName="ThisWorkbook"/>
  <workbookProtection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2451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50" i="1"/>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M50"/>
  <c r="L50"/>
  <c r="K50"/>
  <c r="J50"/>
  <c r="I50"/>
  <c r="H50"/>
  <c r="G50"/>
  <c r="F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D50" l="1"/>
</calcChain>
</file>

<file path=xl/sharedStrings.xml><?xml version="1.0" encoding="utf-8"?>
<sst xmlns="http://schemas.openxmlformats.org/spreadsheetml/2006/main" count="165" uniqueCount="113">
  <si>
    <t>Delivery Room</t>
  </si>
  <si>
    <t>Category of supplies</t>
  </si>
  <si>
    <r>
      <rPr>
        <b/>
        <sz val="11"/>
        <color theme="1"/>
        <rFont val="Arial Narrow"/>
        <family val="2"/>
      </rPr>
      <t>Objective:</t>
    </r>
    <r>
      <rPr>
        <sz val="11"/>
        <color theme="1"/>
        <rFont val="Arial Narrow"/>
        <family val="2"/>
      </rPr>
      <t xml:space="preserve"> Identify costs of supplies consumed in each unit/department of the hospital</t>
    </r>
  </si>
  <si>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</si>
  <si>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</si>
  <si>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</si>
  <si>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</si>
  <si>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</si>
  <si>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</si>
  <si>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</si>
  <si>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</si>
  <si>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</si>
  <si>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</si>
  <si>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</si>
  <si>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</si>
  <si>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</si>
  <si>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</si>
  <si>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</si>
  <si>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</si>
  <si>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</si>
  <si>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</si>
  <si>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</si>
  <si>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</si>
  <si>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</si>
  <si>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</si>
  <si>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</si>
  <si>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</si>
  <si>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</si>
  <si>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</si>
  <si>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</si>
  <si>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</si>
  <si>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</si>
  <si>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</si>
  <si>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</si>
  <si>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</si>
  <si>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</si>
  <si>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</si>
  <si>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</si>
  <si>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</si>
  <si>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</si>
  <si>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</si>
  <si>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</si>
  <si>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</si>
  <si>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</si>
  <si>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</si>
  <si>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</si>
  <si>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</si>
  <si>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</si>
  <si>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</si>
  <si>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</si>
  <si>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</si>
  <si>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</si>
  <si>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</si>
  <si>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</si>
  <si>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</si>
  <si>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</si>
  <si>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</si>
  <si>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</si>
  <si>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</si>
  <si>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</si>
  <si>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</si>
  <si>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</si>
  <si>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</si>
  <si>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</si>
  <si>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</si>
  <si>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</si>
  <si>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</si>
  <si>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</si>
  <si>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</si>
  <si>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</si>
  <si>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</si>
  <si>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</si>
  <si>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</si>
  <si>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</si>
  <si>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</si>
  <si>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</si>
  <si>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</si>
  <si>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</si>
  <si>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</si>
  <si>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</si>
  <si>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</si>
  <si>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Medical Supplies</t>
  </si>
  <si>
    <t xml:space="preserve">       micropore</t>
  </si>
  <si>
    <t xml:space="preserve">       alcohol</t>
  </si>
  <si>
    <t xml:space="preserve">       face mask</t>
  </si>
  <si>
    <t xml:space="preserve">       or caps</t>
  </si>
  <si>
    <t xml:space="preserve">       examination gloves</t>
  </si>
  <si>
    <t xml:space="preserve">       cotton 400 grams</t>
  </si>
  <si>
    <t xml:space="preserve">       soluset</t>
  </si>
  <si>
    <t xml:space="preserve">       surgical gloves</t>
  </si>
  <si>
    <t xml:space="preserve">       nasal oxygen cannula</t>
  </si>
  <si>
    <t xml:space="preserve">       nebulizer kit</t>
  </si>
  <si>
    <t xml:space="preserve">       wrist splint</t>
  </si>
  <si>
    <t xml:space="preserve">       magic pillow</t>
  </si>
  <si>
    <t xml:space="preserve">       admission kit</t>
  </si>
  <si>
    <t xml:space="preserve">       oxygen mask</t>
  </si>
  <si>
    <t xml:space="preserve">       gauze 4x4 (sterile)</t>
  </si>
  <si>
    <t xml:space="preserve">       nylon 3.0</t>
  </si>
  <si>
    <t xml:space="preserve">       nylon 4.0</t>
  </si>
  <si>
    <t xml:space="preserve">       foley catheter </t>
  </si>
  <si>
    <t>May 28-June 01, 2018</t>
  </si>
  <si>
    <t xml:space="preserve">       urine bag</t>
  </si>
  <si>
    <t xml:space="preserve">       tongue depressor</t>
  </si>
  <si>
    <t xml:space="preserve">       nasogastric tube feeding</t>
  </si>
  <si>
    <t xml:space="preserve">       asepto syringe</t>
  </si>
  <si>
    <t xml:space="preserve">       endotracheal tube </t>
  </si>
  <si>
    <t xml:space="preserve">       foot splint</t>
  </si>
  <si>
    <t xml:space="preserve">       male urinal</t>
  </si>
  <si>
    <t xml:space="preserve">       arm sling</t>
  </si>
  <si>
    <t xml:space="preserve">       chromic 3.0</t>
  </si>
  <si>
    <t xml:space="preserve">       razore(disposable)</t>
  </si>
  <si>
    <t>housekeeping &amp; laundry supplies</t>
  </si>
  <si>
    <t>office supplies</t>
  </si>
</sst>
</file>

<file path=xl/styles.xml><?xml version="1.0" encoding="utf-8"?>
<styleSheet xmlns="http://schemas.openxmlformats.org/spreadsheetml/2006/main">
  <numFmts count="1">
    <numFmt numFmtId="164" formatCode="_-* #,##0.00_-;\-* #,##0.00_-;_-* &quot;-&quot;??_-;_-@_-"/>
  </numFmts>
  <fonts count="2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8"/>
      <color rgb="FF008000"/>
      <name val="Calibri"/>
      <family val="2"/>
      <scheme val="minor"/>
    </font>
    <font>
      <sz val="8"/>
      <color rgb="FF800000"/>
      <name val="Calibri"/>
      <family val="2"/>
      <scheme val="minor"/>
    </font>
    <font>
      <sz val="11"/>
      <color indexed="39"/>
      <name val="Calibri"/>
      <family val="2"/>
      <scheme val="minor"/>
    </font>
    <font>
      <sz val="11"/>
      <color indexed="63"/>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1" fillId="4" borderId="1" xfId="1" applyFont="1" applyFill="1" applyBorder="1" applyAlignment="1">
      <alignment horizontal="left" vertical="center" wrapText="1"/>
    </xf>
    <xf numFmtId="0" fontId="15" fillId="4" borderId="1" xfId="1" applyFont="1" applyFill="1" applyBorder="1" applyAlignment="1">
      <alignment horizontal="left" vertical="center" wrapText="1"/>
    </xf>
    <xf numFmtId="0" fontId="12"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3"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3" fillId="3" borderId="1" xfId="1" applyFont="1" applyFill="1" applyBorder="1" applyAlignment="1">
      <alignment horizontal="center" vertical="center" wrapText="1"/>
    </xf>
    <xf numFmtId="0" fontId="14" fillId="3" borderId="1" xfId="1" applyFont="1" applyFill="1" applyBorder="1" applyAlignment="1">
      <alignment wrapText="1"/>
    </xf>
    <xf numFmtId="0" fontId="13" fillId="4" borderId="1" xfId="1" applyFont="1" applyFill="1" applyBorder="1" applyAlignment="1">
      <alignment horizontal="center" vertical="center" wrapText="1"/>
    </xf>
    <xf numFmtId="0" fontId="14"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1" fillId="3" borderId="3" xfId="1" applyFont="1" applyFill="1" applyBorder="1" applyAlignment="1">
      <alignment wrapText="1"/>
    </xf>
    <xf numFmtId="0" fontId="11" fillId="3" borderId="4" xfId="1" applyFont="1" applyFill="1" applyBorder="1" applyAlignment="1">
      <alignment wrapText="1"/>
    </xf>
    <xf numFmtId="0" fontId="11" fillId="3" borderId="5" xfId="1" applyFont="1" applyFill="1" applyBorder="1" applyAlignment="1">
      <alignment wrapText="1"/>
    </xf>
    <xf numFmtId="0" fontId="11" fillId="3" borderId="1" xfId="1" applyFont="1" applyFill="1" applyBorder="1" applyAlignment="1">
      <alignment wrapText="1"/>
    </xf>
    <xf numFmtId="0" fontId="12" fillId="3" borderId="1" xfId="1" applyFont="1" applyFill="1" applyBorder="1" applyAlignment="1">
      <alignment wrapText="1"/>
    </xf>
    <xf numFmtId="0" fontId="11"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tabColor rgb="FF0070C0"/>
  </sheetPr>
  <dimension ref="B2:DQ51"/>
  <sheetViews>
    <sheetView showGridLines="0" tabSelected="1" topLeftCell="A12" workbookViewId="0">
      <selection activeCell="C44" sqref="C44"/>
    </sheetView>
  </sheetViews>
  <sheetFormatPr defaultColWidth="8.7109375" defaultRowHeight="16.5" outlineLevelRow="1"/>
  <cols>
    <col min="1" max="1" width="3.7109375" style="2" customWidth="1"/>
    <col min="2" max="2" width="26.7109375" style="2" customWidth="1"/>
    <col min="3" max="3" width="46.42578125" style="2" customWidth="1"/>
    <col min="4" max="4" width="25.5703125" style="2" customWidth="1"/>
    <col min="5" max="5" width="1.28515625" style="6" customWidth="1"/>
    <col min="6" max="12" width="8.7109375" style="6" hidden="1" customWidth="1"/>
    <col min="13" max="13" width="12.140625" style="6" customWidth="1"/>
    <col min="14" max="22" width="8.7109375" style="6" hidden="1" customWidth="1"/>
    <col min="23" max="23" width="0.140625" style="6" hidden="1" customWidth="1"/>
    <col min="24" max="24" width="8.7109375" style="6" hidden="1" customWidth="1"/>
    <col min="25" max="25" width="10.7109375" style="6" customWidth="1"/>
    <col min="26" max="27" width="8.7109375" style="6" hidden="1" customWidth="1"/>
    <col min="28" max="28" width="1.140625" style="6" hidden="1" customWidth="1"/>
    <col min="29" max="29" width="10.28515625" style="6" customWidth="1"/>
    <col min="30" max="30" width="13" style="6" customWidth="1"/>
    <col min="31" max="31" width="8.7109375" style="6" hidden="1" customWidth="1"/>
    <col min="32" max="32" width="11.28515625" style="6" customWidth="1"/>
    <col min="33" max="33" width="11" style="6" customWidth="1"/>
    <col min="34" max="41" width="8.7109375" style="6" hidden="1" customWidth="1"/>
    <col min="42" max="42" width="11" style="6" customWidth="1"/>
    <col min="43" max="54" width="8.7109375" style="6" hidden="1" customWidth="1"/>
    <col min="55" max="55" width="11" style="6" customWidth="1"/>
    <col min="56" max="57" width="10.5703125" style="6" customWidth="1"/>
    <col min="58" max="58" width="11.28515625" style="6" customWidth="1"/>
    <col min="59" max="59" width="10.7109375" style="6" customWidth="1"/>
    <col min="60" max="60" width="1.7109375" style="6" customWidth="1"/>
    <col min="61" max="121" width="8.7109375" style="6" hidden="1" customWidth="1"/>
    <col min="122" max="16384" width="8.7109375" style="2"/>
  </cols>
  <sheetData>
    <row r="2" spans="2:121">
      <c r="B2" s="29" t="s">
        <v>64</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c r="B3" s="1"/>
    </row>
    <row r="4" spans="2:121" hidden="1" outlineLevel="1">
      <c r="B4" s="2" t="s">
        <v>76</v>
      </c>
      <c r="C4" s="3">
        <v>34</v>
      </c>
    </row>
    <row r="5" spans="2:121" s="6" customFormat="1" ht="13.5" customHeight="1" collapsed="1">
      <c r="B5" s="39" t="s">
        <v>2</v>
      </c>
      <c r="C5" s="40"/>
      <c r="D5" s="41"/>
    </row>
    <row r="6" spans="2:121" s="6" customFormat="1">
      <c r="B6" s="24" t="s">
        <v>77</v>
      </c>
      <c r="C6" s="25"/>
      <c r="D6" s="26"/>
    </row>
    <row r="7" spans="2:121" s="6" customFormat="1">
      <c r="B7" s="24" t="s">
        <v>78</v>
      </c>
      <c r="C7" s="25"/>
      <c r="D7" s="26"/>
    </row>
    <row r="8" spans="2:121" s="6" customFormat="1">
      <c r="B8" s="27" t="s">
        <v>66</v>
      </c>
      <c r="C8" s="28" t="s">
        <v>100</v>
      </c>
      <c r="D8" s="26"/>
    </row>
    <row r="9" spans="2:121" s="6" customFormat="1" ht="72" customHeight="1">
      <c r="B9" s="48" t="s">
        <v>79</v>
      </c>
      <c r="C9" s="49"/>
      <c r="D9" s="50"/>
    </row>
    <row r="10" spans="2:121" ht="12.75">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c r="B11" s="31" t="s">
        <v>75</v>
      </c>
      <c r="C11" s="31"/>
    </row>
    <row r="12" spans="2:121" s="13" customFormat="1">
      <c r="B12" s="32"/>
      <c r="C12" s="32"/>
      <c r="D12" s="33"/>
    </row>
    <row r="13" spans="2:121" ht="14.65" customHeight="1">
      <c r="B13" s="21"/>
      <c r="C13" s="22"/>
      <c r="D13" s="23"/>
      <c r="E13" s="14"/>
      <c r="F13" s="42" t="s">
        <v>3</v>
      </c>
      <c r="G13" s="43"/>
      <c r="H13" s="43"/>
      <c r="I13" s="43"/>
      <c r="J13" s="43"/>
      <c r="K13" s="43"/>
      <c r="L13" s="43"/>
      <c r="M13" s="43"/>
      <c r="N13" s="43"/>
      <c r="O13" s="43"/>
      <c r="P13" s="43"/>
      <c r="Q13" s="43"/>
      <c r="R13" s="43"/>
      <c r="S13" s="43"/>
      <c r="T13" s="43"/>
      <c r="U13" s="43"/>
      <c r="V13" s="43"/>
      <c r="W13" s="44"/>
      <c r="X13" s="45" t="s">
        <v>19</v>
      </c>
      <c r="Y13" s="46"/>
      <c r="Z13" s="46"/>
      <c r="AA13" s="46"/>
      <c r="AB13" s="46"/>
      <c r="AC13" s="46"/>
      <c r="AD13" s="46"/>
      <c r="AE13" s="46"/>
      <c r="AF13" s="46"/>
      <c r="AG13" s="46"/>
      <c r="AH13" s="46"/>
      <c r="AI13" s="46"/>
      <c r="AJ13" s="46"/>
      <c r="AK13" s="46"/>
      <c r="AL13" s="46"/>
      <c r="AM13" s="46"/>
      <c r="AN13" s="46"/>
      <c r="AO13" s="46"/>
      <c r="AP13" s="47" t="s">
        <v>30</v>
      </c>
      <c r="AQ13" s="46"/>
      <c r="AR13" s="46"/>
      <c r="AS13" s="46"/>
      <c r="AT13" s="46"/>
      <c r="AU13" s="46"/>
      <c r="AV13" s="46"/>
      <c r="AW13" s="46"/>
      <c r="AX13" s="46"/>
      <c r="AY13" s="46"/>
      <c r="AZ13" s="46"/>
      <c r="BA13" s="46"/>
      <c r="BB13" s="46"/>
      <c r="BC13" s="46"/>
      <c r="BD13" s="46"/>
      <c r="BE13" s="46"/>
      <c r="BF13" s="46"/>
      <c r="BG13" s="46"/>
      <c r="BH13" s="14"/>
      <c r="BI13" s="35" t="s">
        <v>3</v>
      </c>
      <c r="BJ13" s="36"/>
      <c r="BK13" s="36"/>
      <c r="BL13" s="36"/>
      <c r="BM13" s="36"/>
      <c r="BN13" s="36"/>
      <c r="BO13" s="36"/>
      <c r="BP13" s="36"/>
      <c r="BQ13" s="36"/>
      <c r="BR13" s="36"/>
      <c r="BS13" s="36"/>
      <c r="BT13" s="36"/>
      <c r="BU13" s="36"/>
      <c r="BV13" s="36"/>
      <c r="BW13" s="36"/>
      <c r="BX13" s="36"/>
      <c r="BY13" s="36"/>
      <c r="BZ13" s="36"/>
      <c r="CA13" s="37" t="s">
        <v>19</v>
      </c>
      <c r="CB13" s="38"/>
      <c r="CC13" s="38"/>
      <c r="CD13" s="38"/>
      <c r="CE13" s="38"/>
      <c r="CF13" s="38"/>
      <c r="CG13" s="38"/>
      <c r="CH13" s="38"/>
      <c r="CI13" s="38"/>
      <c r="CJ13" s="38"/>
      <c r="CK13" s="38"/>
      <c r="CL13" s="38"/>
      <c r="CM13" s="38"/>
      <c r="CN13" s="38"/>
      <c r="CO13" s="38"/>
      <c r="CP13" s="38"/>
      <c r="CQ13" s="38"/>
      <c r="CR13" s="38"/>
      <c r="CS13" s="38"/>
      <c r="CT13" s="35" t="s">
        <v>30</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81.75" customHeight="1">
      <c r="B14" s="34" t="s">
        <v>65</v>
      </c>
      <c r="C14" s="19" t="s">
        <v>1</v>
      </c>
      <c r="D14" s="20" t="s">
        <v>80</v>
      </c>
      <c r="E14" s="14"/>
      <c r="F14" s="15" t="s">
        <v>4</v>
      </c>
      <c r="G14" s="15" t="s">
        <v>67</v>
      </c>
      <c r="H14" s="15" t="s">
        <v>5</v>
      </c>
      <c r="I14" s="15" t="s">
        <v>6</v>
      </c>
      <c r="J14" s="15" t="s">
        <v>7</v>
      </c>
      <c r="K14" s="15" t="s">
        <v>8</v>
      </c>
      <c r="L14" s="15" t="s">
        <v>9</v>
      </c>
      <c r="M14" s="15" t="s">
        <v>68</v>
      </c>
      <c r="N14" s="15" t="s">
        <v>10</v>
      </c>
      <c r="O14" s="15" t="s">
        <v>11</v>
      </c>
      <c r="P14" s="15" t="s">
        <v>12</v>
      </c>
      <c r="Q14" s="15" t="s">
        <v>13</v>
      </c>
      <c r="R14" s="15" t="s">
        <v>14</v>
      </c>
      <c r="S14" s="15" t="s">
        <v>15</v>
      </c>
      <c r="T14" s="15" t="s">
        <v>16</v>
      </c>
      <c r="U14" s="15" t="s">
        <v>17</v>
      </c>
      <c r="V14" s="15" t="s">
        <v>18</v>
      </c>
      <c r="W14" s="15" t="s">
        <v>45</v>
      </c>
      <c r="X14" s="15" t="s">
        <v>20</v>
      </c>
      <c r="Y14" s="15" t="s">
        <v>23</v>
      </c>
      <c r="Z14" s="16" t="s">
        <v>46</v>
      </c>
      <c r="AA14" s="15" t="s">
        <v>22</v>
      </c>
      <c r="AB14" s="16" t="s">
        <v>21</v>
      </c>
      <c r="AC14" s="15" t="s">
        <v>47</v>
      </c>
      <c r="AD14" s="15" t="s">
        <v>48</v>
      </c>
      <c r="AE14" s="15" t="s">
        <v>49</v>
      </c>
      <c r="AF14" s="15" t="s">
        <v>0</v>
      </c>
      <c r="AG14" s="15" t="s">
        <v>24</v>
      </c>
      <c r="AH14" s="15" t="s">
        <v>50</v>
      </c>
      <c r="AI14" s="15" t="s">
        <v>25</v>
      </c>
      <c r="AJ14" s="15" t="s">
        <v>26</v>
      </c>
      <c r="AK14" s="15" t="s">
        <v>27</v>
      </c>
      <c r="AL14" s="15" t="s">
        <v>28</v>
      </c>
      <c r="AM14" s="16" t="s">
        <v>51</v>
      </c>
      <c r="AN14" s="16" t="s">
        <v>52</v>
      </c>
      <c r="AO14" s="15" t="s">
        <v>45</v>
      </c>
      <c r="AP14" s="15" t="s">
        <v>69</v>
      </c>
      <c r="AQ14" s="15" t="s">
        <v>53</v>
      </c>
      <c r="AR14" s="15" t="s">
        <v>54</v>
      </c>
      <c r="AS14" s="15" t="s">
        <v>55</v>
      </c>
      <c r="AT14" s="15" t="s">
        <v>56</v>
      </c>
      <c r="AU14" s="15" t="s">
        <v>57</v>
      </c>
      <c r="AV14" s="15" t="s">
        <v>58</v>
      </c>
      <c r="AW14" s="16" t="s">
        <v>70</v>
      </c>
      <c r="AX14" s="15" t="s">
        <v>71</v>
      </c>
      <c r="AY14" s="15" t="s">
        <v>32</v>
      </c>
      <c r="AZ14" s="15" t="s">
        <v>33</v>
      </c>
      <c r="BA14" s="15" t="s">
        <v>29</v>
      </c>
      <c r="BB14" s="15" t="s">
        <v>34</v>
      </c>
      <c r="BC14" s="15" t="s">
        <v>35</v>
      </c>
      <c r="BD14" s="15" t="s">
        <v>36</v>
      </c>
      <c r="BE14" s="15" t="s">
        <v>37</v>
      </c>
      <c r="BF14" s="15" t="s">
        <v>38</v>
      </c>
      <c r="BG14" s="15" t="s">
        <v>39</v>
      </c>
      <c r="BH14" s="14"/>
      <c r="BI14" s="15" t="s">
        <v>4</v>
      </c>
      <c r="BJ14" s="15" t="s">
        <v>72</v>
      </c>
      <c r="BK14" s="15" t="s">
        <v>5</v>
      </c>
      <c r="BL14" s="15" t="s">
        <v>6</v>
      </c>
      <c r="BM14" s="15" t="s">
        <v>7</v>
      </c>
      <c r="BN14" s="15" t="s">
        <v>8</v>
      </c>
      <c r="BO14" s="15" t="s">
        <v>9</v>
      </c>
      <c r="BP14" s="15" t="s">
        <v>73</v>
      </c>
      <c r="BQ14" s="15" t="s">
        <v>10</v>
      </c>
      <c r="BR14" s="15" t="s">
        <v>11</v>
      </c>
      <c r="BS14" s="15" t="s">
        <v>12</v>
      </c>
      <c r="BT14" s="15" t="s">
        <v>13</v>
      </c>
      <c r="BU14" s="15" t="s">
        <v>14</v>
      </c>
      <c r="BV14" s="15" t="s">
        <v>15</v>
      </c>
      <c r="BW14" s="15" t="s">
        <v>16</v>
      </c>
      <c r="BX14" s="15" t="s">
        <v>17</v>
      </c>
      <c r="BY14" s="15" t="s">
        <v>74</v>
      </c>
      <c r="BZ14" s="15" t="s">
        <v>45</v>
      </c>
      <c r="CA14" s="15" t="s">
        <v>20</v>
      </c>
      <c r="CB14" s="15" t="s">
        <v>23</v>
      </c>
      <c r="CC14" s="15" t="s">
        <v>46</v>
      </c>
      <c r="CD14" s="15" t="s">
        <v>22</v>
      </c>
      <c r="CE14" s="15" t="s">
        <v>21</v>
      </c>
      <c r="CF14" s="15" t="s">
        <v>47</v>
      </c>
      <c r="CG14" s="15" t="s">
        <v>48</v>
      </c>
      <c r="CH14" s="15" t="s">
        <v>59</v>
      </c>
      <c r="CI14" s="15" t="s">
        <v>49</v>
      </c>
      <c r="CJ14" s="15" t="s">
        <v>0</v>
      </c>
      <c r="CK14" s="15" t="s">
        <v>24</v>
      </c>
      <c r="CL14" s="15" t="s">
        <v>50</v>
      </c>
      <c r="CM14" s="15" t="s">
        <v>25</v>
      </c>
      <c r="CN14" s="15" t="s">
        <v>26</v>
      </c>
      <c r="CO14" s="15" t="s">
        <v>27</v>
      </c>
      <c r="CP14" s="15" t="s">
        <v>28</v>
      </c>
      <c r="CQ14" s="15" t="s">
        <v>51</v>
      </c>
      <c r="CR14" s="15" t="s">
        <v>52</v>
      </c>
      <c r="CS14" s="16" t="s">
        <v>45</v>
      </c>
      <c r="CT14" s="15" t="s">
        <v>31</v>
      </c>
      <c r="CU14" s="15" t="s">
        <v>53</v>
      </c>
      <c r="CV14" s="15" t="s">
        <v>54</v>
      </c>
      <c r="CW14" s="15" t="s">
        <v>55</v>
      </c>
      <c r="CX14" s="15" t="s">
        <v>56</v>
      </c>
      <c r="CY14" s="15" t="s">
        <v>57</v>
      </c>
      <c r="CZ14" s="15" t="s">
        <v>58</v>
      </c>
      <c r="DA14" s="17" t="s">
        <v>60</v>
      </c>
      <c r="DB14" s="15" t="s">
        <v>61</v>
      </c>
      <c r="DC14" s="15" t="s">
        <v>32</v>
      </c>
      <c r="DD14" s="15" t="s">
        <v>33</v>
      </c>
      <c r="DE14" s="15" t="s">
        <v>62</v>
      </c>
      <c r="DF14" s="15" t="s">
        <v>29</v>
      </c>
      <c r="DG14" s="15" t="s">
        <v>63</v>
      </c>
      <c r="DH14" s="15" t="s">
        <v>34</v>
      </c>
      <c r="DI14" s="15" t="s">
        <v>35</v>
      </c>
      <c r="DJ14" s="15" t="s">
        <v>36</v>
      </c>
      <c r="DK14" s="15" t="s">
        <v>37</v>
      </c>
      <c r="DL14" s="15" t="s">
        <v>38</v>
      </c>
      <c r="DM14" s="15" t="s">
        <v>39</v>
      </c>
      <c r="DN14" s="15" t="s">
        <v>40</v>
      </c>
      <c r="DO14" s="15" t="s">
        <v>41</v>
      </c>
      <c r="DP14" s="15" t="s">
        <v>42</v>
      </c>
      <c r="DQ14" s="15" t="s">
        <v>43</v>
      </c>
    </row>
    <row r="15" spans="2:121" s="5" customFormat="1">
      <c r="B15" s="11">
        <v>1</v>
      </c>
      <c r="C15" s="12" t="s">
        <v>81</v>
      </c>
      <c r="D15" s="9"/>
      <c r="E15" s="14"/>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hidden="1">
      <c r="B16" s="11">
        <v>2</v>
      </c>
      <c r="C16" s="12" t="s">
        <v>82</v>
      </c>
      <c r="D16" s="9">
        <v>3760</v>
      </c>
      <c r="E16" s="14"/>
      <c r="F16" s="18"/>
      <c r="G16" s="18"/>
      <c r="H16" s="18"/>
      <c r="I16" s="18"/>
      <c r="J16" s="18"/>
      <c r="K16" s="18"/>
      <c r="L16" s="18"/>
      <c r="M16" s="18"/>
      <c r="N16" s="18"/>
      <c r="O16" s="18"/>
      <c r="P16" s="18"/>
      <c r="Q16" s="18"/>
      <c r="R16" s="18"/>
      <c r="S16" s="18"/>
      <c r="T16" s="18"/>
      <c r="U16" s="18"/>
      <c r="V16" s="18"/>
      <c r="W16" s="18"/>
      <c r="X16" s="18"/>
      <c r="Y16" s="18"/>
      <c r="Z16" s="18"/>
      <c r="AA16" s="18"/>
      <c r="AB16" s="18"/>
      <c r="AC16" s="18">
        <v>10</v>
      </c>
      <c r="AD16" s="18"/>
      <c r="AE16" s="18"/>
      <c r="AF16" s="18">
        <v>1</v>
      </c>
      <c r="AG16" s="18">
        <v>1</v>
      </c>
      <c r="AH16" s="18"/>
      <c r="AI16" s="18"/>
      <c r="AJ16" s="18"/>
      <c r="AK16" s="18"/>
      <c r="AL16" s="18"/>
      <c r="AM16" s="18"/>
      <c r="AN16" s="18"/>
      <c r="AO16" s="18"/>
      <c r="AP16" s="18">
        <v>10</v>
      </c>
      <c r="AQ16" s="18"/>
      <c r="AR16" s="18"/>
      <c r="AS16" s="18"/>
      <c r="AT16" s="18"/>
      <c r="AU16" s="18"/>
      <c r="AV16" s="18"/>
      <c r="AW16" s="18"/>
      <c r="AX16" s="18"/>
      <c r="AY16" s="18"/>
      <c r="AZ16" s="18"/>
      <c r="BA16" s="18"/>
      <c r="BB16" s="18"/>
      <c r="BC16" s="18">
        <v>5</v>
      </c>
      <c r="BD16" s="18">
        <v>5</v>
      </c>
      <c r="BE16" s="18">
        <v>5</v>
      </c>
      <c r="BF16" s="18">
        <v>5</v>
      </c>
      <c r="BG16" s="18">
        <v>5</v>
      </c>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hidden="1">
      <c r="B17" s="11">
        <v>3</v>
      </c>
      <c r="C17" s="12" t="s">
        <v>83</v>
      </c>
      <c r="D17" s="9">
        <v>1785</v>
      </c>
      <c r="E17" s="14"/>
      <c r="F17" s="18"/>
      <c r="G17" s="18"/>
      <c r="H17" s="18"/>
      <c r="I17" s="18"/>
      <c r="J17" s="18"/>
      <c r="K17" s="18"/>
      <c r="L17" s="18"/>
      <c r="M17" s="18"/>
      <c r="N17" s="18"/>
      <c r="O17" s="18"/>
      <c r="P17" s="18"/>
      <c r="Q17" s="18"/>
      <c r="R17" s="18"/>
      <c r="S17" s="18"/>
      <c r="T17" s="18"/>
      <c r="U17" s="18"/>
      <c r="V17" s="18"/>
      <c r="W17" s="18"/>
      <c r="X17" s="18"/>
      <c r="Y17" s="18"/>
      <c r="Z17" s="18"/>
      <c r="AA17" s="18"/>
      <c r="AB17" s="18"/>
      <c r="AC17" s="18">
        <v>5</v>
      </c>
      <c r="AD17" s="18"/>
      <c r="AE17" s="18"/>
      <c r="AF17" s="18">
        <v>1</v>
      </c>
      <c r="AG17" s="18">
        <v>1</v>
      </c>
      <c r="AH17" s="18"/>
      <c r="AI17" s="18"/>
      <c r="AJ17" s="18"/>
      <c r="AK17" s="18"/>
      <c r="AL17" s="18"/>
      <c r="AM17" s="18"/>
      <c r="AN17" s="18"/>
      <c r="AO17" s="18"/>
      <c r="AP17" s="18">
        <v>5</v>
      </c>
      <c r="AQ17" s="18"/>
      <c r="AR17" s="18"/>
      <c r="AS17" s="18"/>
      <c r="AT17" s="18"/>
      <c r="AU17" s="18"/>
      <c r="AV17" s="18"/>
      <c r="AW17" s="18"/>
      <c r="AX17" s="18"/>
      <c r="AY17" s="18"/>
      <c r="AZ17" s="18"/>
      <c r="BA17" s="18"/>
      <c r="BB17" s="18"/>
      <c r="BC17" s="18">
        <v>1</v>
      </c>
      <c r="BD17" s="18">
        <v>1</v>
      </c>
      <c r="BE17" s="18">
        <v>1</v>
      </c>
      <c r="BF17" s="18">
        <v>1</v>
      </c>
      <c r="BG17" s="18">
        <v>1</v>
      </c>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hidden="1">
      <c r="B18" s="11">
        <v>4</v>
      </c>
      <c r="C18" s="12" t="s">
        <v>84</v>
      </c>
      <c r="D18" s="9">
        <v>1550</v>
      </c>
      <c r="E18" s="14"/>
      <c r="F18" s="18"/>
      <c r="G18" s="18"/>
      <c r="H18" s="18"/>
      <c r="I18" s="18"/>
      <c r="J18" s="18"/>
      <c r="K18" s="18"/>
      <c r="L18" s="18"/>
      <c r="M18" s="18">
        <v>35</v>
      </c>
      <c r="N18" s="18"/>
      <c r="O18" s="18"/>
      <c r="P18" s="18"/>
      <c r="Q18" s="18"/>
      <c r="R18" s="18"/>
      <c r="S18" s="18"/>
      <c r="T18" s="18"/>
      <c r="U18" s="18"/>
      <c r="V18" s="18"/>
      <c r="W18" s="18"/>
      <c r="X18" s="18"/>
      <c r="Y18" s="18">
        <v>30</v>
      </c>
      <c r="Z18" s="18"/>
      <c r="AA18" s="18"/>
      <c r="AB18" s="18"/>
      <c r="AC18" s="18">
        <v>10</v>
      </c>
      <c r="AD18" s="18">
        <v>5</v>
      </c>
      <c r="AE18" s="18"/>
      <c r="AF18" s="18">
        <v>6</v>
      </c>
      <c r="AG18" s="18">
        <v>4</v>
      </c>
      <c r="AH18" s="18"/>
      <c r="AI18" s="18"/>
      <c r="AJ18" s="18"/>
      <c r="AK18" s="18"/>
      <c r="AL18" s="18"/>
      <c r="AM18" s="18"/>
      <c r="AN18" s="18"/>
      <c r="AO18" s="18"/>
      <c r="AP18" s="18">
        <v>20</v>
      </c>
      <c r="AQ18" s="18"/>
      <c r="AR18" s="18"/>
      <c r="AS18" s="18"/>
      <c r="AT18" s="18"/>
      <c r="AU18" s="18"/>
      <c r="AV18" s="18"/>
      <c r="AW18" s="18"/>
      <c r="AX18" s="18"/>
      <c r="AY18" s="18"/>
      <c r="AZ18" s="18"/>
      <c r="BA18" s="18"/>
      <c r="BB18" s="18"/>
      <c r="BC18" s="18">
        <v>10</v>
      </c>
      <c r="BD18" s="18">
        <v>15</v>
      </c>
      <c r="BE18" s="18">
        <v>5</v>
      </c>
      <c r="BF18" s="18">
        <v>5</v>
      </c>
      <c r="BG18" s="18">
        <v>15</v>
      </c>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hidden="1">
      <c r="B19" s="11">
        <v>5</v>
      </c>
      <c r="C19" s="12" t="s">
        <v>85</v>
      </c>
      <c r="D19" s="9"/>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v>6</v>
      </c>
      <c r="AG19" s="18">
        <v>4</v>
      </c>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hidden="1">
      <c r="B20" s="11">
        <v>6</v>
      </c>
      <c r="C20" s="12" t="s">
        <v>86</v>
      </c>
      <c r="D20" s="9">
        <v>2220</v>
      </c>
      <c r="F20" s="18"/>
      <c r="G20" s="18"/>
      <c r="H20" s="18"/>
      <c r="I20" s="18"/>
      <c r="J20" s="18"/>
      <c r="K20" s="18"/>
      <c r="L20" s="18"/>
      <c r="M20" s="18">
        <v>60</v>
      </c>
      <c r="N20" s="18"/>
      <c r="O20" s="18"/>
      <c r="P20" s="18"/>
      <c r="Q20" s="18"/>
      <c r="R20" s="18"/>
      <c r="S20" s="18"/>
      <c r="T20" s="18"/>
      <c r="U20" s="18"/>
      <c r="V20" s="18"/>
      <c r="W20" s="18"/>
      <c r="X20" s="18"/>
      <c r="Y20" s="18"/>
      <c r="Z20" s="18"/>
      <c r="AA20" s="18"/>
      <c r="AB20" s="18"/>
      <c r="AC20" s="18">
        <v>45</v>
      </c>
      <c r="AD20" s="18"/>
      <c r="AE20" s="18"/>
      <c r="AF20" s="18">
        <v>30</v>
      </c>
      <c r="AG20" s="18"/>
      <c r="AH20" s="18"/>
      <c r="AI20" s="18"/>
      <c r="AJ20" s="18"/>
      <c r="AK20" s="18"/>
      <c r="AL20" s="18"/>
      <c r="AM20" s="18"/>
      <c r="AN20" s="18"/>
      <c r="AO20" s="18"/>
      <c r="AP20" s="18">
        <v>61</v>
      </c>
      <c r="AQ20" s="18"/>
      <c r="AR20" s="18"/>
      <c r="AS20" s="18"/>
      <c r="AT20" s="18"/>
      <c r="AU20" s="18"/>
      <c r="AV20" s="18"/>
      <c r="AW20" s="18"/>
      <c r="AX20" s="18"/>
      <c r="AY20" s="18"/>
      <c r="AZ20" s="18"/>
      <c r="BA20" s="18"/>
      <c r="BB20" s="18"/>
      <c r="BC20" s="18">
        <v>26</v>
      </c>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hidden="1">
      <c r="B21" s="11">
        <v>7</v>
      </c>
      <c r="C21" s="12" t="s">
        <v>87</v>
      </c>
      <c r="D21" s="9">
        <v>600</v>
      </c>
      <c r="F21" s="18"/>
      <c r="G21" s="18"/>
      <c r="H21" s="18"/>
      <c r="I21" s="18"/>
      <c r="J21" s="18"/>
      <c r="K21" s="18"/>
      <c r="L21" s="18"/>
      <c r="M21" s="18"/>
      <c r="N21" s="18"/>
      <c r="O21" s="18"/>
      <c r="P21" s="18"/>
      <c r="Q21" s="18"/>
      <c r="R21" s="18"/>
      <c r="S21" s="18"/>
      <c r="T21" s="18"/>
      <c r="U21" s="18"/>
      <c r="V21" s="18"/>
      <c r="W21" s="18"/>
      <c r="X21" s="18"/>
      <c r="Y21" s="18"/>
      <c r="Z21" s="18"/>
      <c r="AA21" s="18"/>
      <c r="AB21" s="18"/>
      <c r="AC21" s="18">
        <v>1</v>
      </c>
      <c r="AD21" s="18"/>
      <c r="AE21" s="18"/>
      <c r="AF21" s="18"/>
      <c r="AG21" s="18">
        <v>1</v>
      </c>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hidden="1">
      <c r="B22" s="11">
        <v>8</v>
      </c>
      <c r="C22" s="12" t="s">
        <v>88</v>
      </c>
      <c r="D22" s="9">
        <v>3150</v>
      </c>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v>5</v>
      </c>
      <c r="BD22" s="18">
        <v>2</v>
      </c>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hidden="1">
      <c r="B23" s="11">
        <v>9</v>
      </c>
      <c r="C23" s="12" t="s">
        <v>89</v>
      </c>
      <c r="D23" s="9">
        <v>120</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v>1</v>
      </c>
      <c r="BD23" s="18"/>
      <c r="BE23" s="18">
        <v>1</v>
      </c>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hidden="1">
      <c r="B24" s="11">
        <v>10</v>
      </c>
      <c r="C24" s="12" t="s">
        <v>90</v>
      </c>
      <c r="D24" s="9">
        <v>1100</v>
      </c>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v>1</v>
      </c>
      <c r="AQ24" s="18"/>
      <c r="AR24" s="18"/>
      <c r="AS24" s="18"/>
      <c r="AT24" s="18"/>
      <c r="AU24" s="18"/>
      <c r="AV24" s="18"/>
      <c r="AW24" s="18"/>
      <c r="AX24" s="18"/>
      <c r="AY24" s="18"/>
      <c r="AZ24" s="18"/>
      <c r="BA24" s="18"/>
      <c r="BB24" s="18"/>
      <c r="BC24" s="18">
        <v>8</v>
      </c>
      <c r="BD24" s="18">
        <v>1</v>
      </c>
      <c r="BE24" s="18"/>
      <c r="BF24" s="18">
        <v>1</v>
      </c>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hidden="1">
      <c r="B25" s="11">
        <v>11</v>
      </c>
      <c r="C25" s="12" t="s">
        <v>91</v>
      </c>
      <c r="D25" s="9">
        <v>252</v>
      </c>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v>2</v>
      </c>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hidden="1">
      <c r="B26" s="11">
        <v>12</v>
      </c>
      <c r="C26" s="12" t="s">
        <v>92</v>
      </c>
      <c r="D26" s="9">
        <v>2730</v>
      </c>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v>18</v>
      </c>
      <c r="BD26" s="18">
        <v>8</v>
      </c>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hidden="1">
      <c r="B27" s="11">
        <v>13</v>
      </c>
      <c r="C27" s="12" t="s">
        <v>93</v>
      </c>
      <c r="D27" s="9">
        <v>1380</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v>4</v>
      </c>
      <c r="BD27" s="18">
        <v>1</v>
      </c>
      <c r="BE27" s="18"/>
      <c r="BF27" s="18">
        <v>1</v>
      </c>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hidden="1">
      <c r="B28" s="11">
        <v>14</v>
      </c>
      <c r="C28" s="12" t="s">
        <v>94</v>
      </c>
      <c r="D28" s="9">
        <v>1120</v>
      </c>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v>2</v>
      </c>
      <c r="BD28" s="18">
        <v>1</v>
      </c>
      <c r="BE28" s="18"/>
      <c r="BF28" s="18">
        <v>1</v>
      </c>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hidden="1">
      <c r="B29" s="11">
        <v>15</v>
      </c>
      <c r="C29" s="12" t="s">
        <v>95</v>
      </c>
      <c r="D29" s="9">
        <v>750</v>
      </c>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v>1</v>
      </c>
      <c r="AQ29" s="18"/>
      <c r="AR29" s="18"/>
      <c r="AS29" s="18"/>
      <c r="AT29" s="18"/>
      <c r="AU29" s="18"/>
      <c r="AV29" s="18"/>
      <c r="AW29" s="18"/>
      <c r="AX29" s="18"/>
      <c r="AY29" s="18"/>
      <c r="AZ29" s="18"/>
      <c r="BA29" s="18"/>
      <c r="BB29" s="18"/>
      <c r="BC29" s="18">
        <v>2</v>
      </c>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hidden="1">
      <c r="B30" s="11">
        <v>16</v>
      </c>
      <c r="C30" s="12" t="s">
        <v>96</v>
      </c>
      <c r="D30" s="9">
        <v>600</v>
      </c>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v>40</v>
      </c>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hidden="1">
      <c r="B31" s="11">
        <v>17</v>
      </c>
      <c r="C31" s="12" t="s">
        <v>97</v>
      </c>
      <c r="D31" s="9">
        <v>400</v>
      </c>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v>1</v>
      </c>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hidden="1">
      <c r="B32" s="11">
        <v>18</v>
      </c>
      <c r="C32" s="12" t="s">
        <v>98</v>
      </c>
      <c r="D32" s="9">
        <v>400</v>
      </c>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v>1</v>
      </c>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3" spans="2:121" hidden="1">
      <c r="B33" s="11">
        <v>19</v>
      </c>
      <c r="C33" s="12" t="s">
        <v>99</v>
      </c>
      <c r="D33" s="9">
        <v>252</v>
      </c>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v>1</v>
      </c>
      <c r="AQ33" s="18"/>
      <c r="AR33" s="18"/>
      <c r="AS33" s="18"/>
      <c r="AT33" s="18"/>
      <c r="AU33" s="18"/>
      <c r="AV33" s="18"/>
      <c r="AW33" s="18"/>
      <c r="AX33" s="18"/>
      <c r="AY33" s="18"/>
      <c r="AZ33" s="18"/>
      <c r="BA33" s="18"/>
      <c r="BB33" s="18"/>
      <c r="BC33" s="18">
        <v>3</v>
      </c>
      <c r="BD33" s="18"/>
      <c r="BE33" s="18"/>
      <c r="BF33" s="18"/>
      <c r="BG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row>
    <row r="34" spans="2:121" hidden="1">
      <c r="B34" s="11">
        <v>20</v>
      </c>
      <c r="C34" s="12" t="s">
        <v>101</v>
      </c>
      <c r="D34" s="9">
        <v>245</v>
      </c>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v>1</v>
      </c>
      <c r="BD34" s="18">
        <v>4</v>
      </c>
      <c r="BE34" s="18">
        <v>2</v>
      </c>
      <c r="BF34" s="18"/>
      <c r="BG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row>
    <row r="35" spans="2:121" hidden="1">
      <c r="B35" s="11">
        <v>21</v>
      </c>
      <c r="C35" s="12" t="s">
        <v>102</v>
      </c>
      <c r="D35" s="9">
        <v>10</v>
      </c>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v>1</v>
      </c>
      <c r="BE35" s="18"/>
      <c r="BF35" s="18"/>
      <c r="BG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row>
    <row r="36" spans="2:121" hidden="1">
      <c r="B36" s="11">
        <v>22</v>
      </c>
      <c r="C36" s="12" t="s">
        <v>103</v>
      </c>
      <c r="D36" s="9">
        <v>74</v>
      </c>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v>2</v>
      </c>
      <c r="BD36" s="18"/>
      <c r="BE36" s="18"/>
      <c r="BF36" s="18"/>
      <c r="BG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row>
    <row r="37" spans="2:121" hidden="1">
      <c r="B37" s="11">
        <v>23</v>
      </c>
      <c r="C37" s="12" t="s">
        <v>104</v>
      </c>
      <c r="D37" s="9">
        <v>90</v>
      </c>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v>1</v>
      </c>
      <c r="BD37" s="18"/>
      <c r="BE37" s="18"/>
      <c r="BF37" s="18"/>
      <c r="BG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row>
    <row r="38" spans="2:121" hidden="1">
      <c r="B38" s="11">
        <v>24</v>
      </c>
      <c r="C38" s="12" t="s">
        <v>105</v>
      </c>
      <c r="D38" s="9">
        <v>568</v>
      </c>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v>2</v>
      </c>
      <c r="BD38" s="18"/>
      <c r="BE38" s="18"/>
      <c r="BF38" s="18"/>
      <c r="BG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row>
    <row r="39" spans="2:121" hidden="1">
      <c r="B39" s="11">
        <v>25</v>
      </c>
      <c r="C39" s="12" t="s">
        <v>106</v>
      </c>
      <c r="D39" s="9">
        <v>105</v>
      </c>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v>1</v>
      </c>
      <c r="BE39" s="18"/>
      <c r="BF39" s="18"/>
      <c r="BG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row>
    <row r="40" spans="2:121" hidden="1">
      <c r="B40" s="11">
        <v>26</v>
      </c>
      <c r="C40" s="12" t="s">
        <v>107</v>
      </c>
      <c r="D40" s="9">
        <v>150</v>
      </c>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v>1</v>
      </c>
      <c r="BD40" s="18"/>
      <c r="BE40" s="18"/>
      <c r="BF40" s="18"/>
      <c r="BG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8"/>
      <c r="DI40" s="18"/>
      <c r="DJ40" s="18"/>
      <c r="DK40" s="18"/>
      <c r="DL40" s="18"/>
      <c r="DM40" s="18"/>
      <c r="DN40" s="18"/>
      <c r="DO40" s="18"/>
      <c r="DP40" s="18"/>
      <c r="DQ40" s="18"/>
    </row>
    <row r="41" spans="2:121" hidden="1">
      <c r="B41" s="11">
        <v>27</v>
      </c>
      <c r="C41" s="12" t="s">
        <v>108</v>
      </c>
      <c r="D41" s="9">
        <v>165</v>
      </c>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v>1</v>
      </c>
      <c r="BD41" s="18"/>
      <c r="BE41" s="18"/>
      <c r="BF41" s="18"/>
      <c r="BG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row>
    <row r="42" spans="2:121" hidden="1">
      <c r="B42" s="11">
        <v>28</v>
      </c>
      <c r="C42" s="12" t="s">
        <v>109</v>
      </c>
      <c r="D42" s="9">
        <v>300</v>
      </c>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v>1</v>
      </c>
      <c r="BD42" s="18"/>
      <c r="BE42" s="18"/>
      <c r="BF42" s="18"/>
      <c r="BG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row>
    <row r="43" spans="2:121" hidden="1">
      <c r="B43" s="11">
        <v>29</v>
      </c>
      <c r="C43" s="12" t="s">
        <v>110</v>
      </c>
      <c r="D43" s="9">
        <v>21</v>
      </c>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v>1</v>
      </c>
      <c r="BD43" s="18"/>
      <c r="BE43" s="18"/>
      <c r="BF43" s="18"/>
      <c r="BG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row>
    <row r="44" spans="2:121">
      <c r="B44" s="11">
        <v>30</v>
      </c>
      <c r="C44" s="12" t="s">
        <v>111</v>
      </c>
      <c r="D44" s="9">
        <v>15000</v>
      </c>
      <c r="F44" s="18"/>
      <c r="G44" s="18"/>
      <c r="H44" s="18"/>
      <c r="I44" s="18"/>
      <c r="J44" s="18"/>
      <c r="K44" s="18"/>
      <c r="L44" s="18"/>
      <c r="M44" s="18">
        <v>1</v>
      </c>
      <c r="N44" s="18"/>
      <c r="O44" s="18"/>
      <c r="P44" s="18"/>
      <c r="Q44" s="18"/>
      <c r="R44" s="18"/>
      <c r="S44" s="18"/>
      <c r="T44" s="18"/>
      <c r="U44" s="18"/>
      <c r="V44" s="18"/>
      <c r="W44" s="18"/>
      <c r="X44" s="18"/>
      <c r="Y44" s="18"/>
      <c r="Z44" s="18"/>
      <c r="AA44" s="18"/>
      <c r="AB44" s="18"/>
      <c r="AC44" s="18">
        <v>1</v>
      </c>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row>
    <row r="45" spans="2:121">
      <c r="B45" s="11">
        <v>31</v>
      </c>
      <c r="C45" s="12" t="s">
        <v>112</v>
      </c>
      <c r="D45" s="9">
        <v>10000</v>
      </c>
      <c r="F45" s="18"/>
      <c r="G45" s="18"/>
      <c r="H45" s="18"/>
      <c r="I45" s="18"/>
      <c r="J45" s="18"/>
      <c r="K45" s="18"/>
      <c r="L45" s="18"/>
      <c r="M45" s="18"/>
      <c r="N45" s="18"/>
      <c r="O45" s="18"/>
      <c r="P45" s="18"/>
      <c r="Q45" s="18"/>
      <c r="R45" s="18"/>
      <c r="S45" s="18"/>
      <c r="T45" s="18"/>
      <c r="U45" s="18"/>
      <c r="V45" s="18"/>
      <c r="W45" s="18"/>
      <c r="X45" s="18"/>
      <c r="Y45" s="18">
        <v>1</v>
      </c>
      <c r="Z45" s="18"/>
      <c r="AA45" s="18"/>
      <c r="AB45" s="18"/>
      <c r="AC45" s="18">
        <v>1</v>
      </c>
      <c r="AD45" s="18">
        <v>1</v>
      </c>
      <c r="AE45" s="18"/>
      <c r="AF45" s="18">
        <v>1</v>
      </c>
      <c r="AG45" s="18">
        <v>1</v>
      </c>
      <c r="AH45" s="18"/>
      <c r="AI45" s="18"/>
      <c r="AJ45" s="18"/>
      <c r="AK45" s="18"/>
      <c r="AL45" s="18"/>
      <c r="AM45" s="18"/>
      <c r="AN45" s="18"/>
      <c r="AO45" s="18"/>
      <c r="AP45" s="18">
        <v>1</v>
      </c>
      <c r="AQ45" s="18"/>
      <c r="AR45" s="18"/>
      <c r="AS45" s="18"/>
      <c r="AT45" s="18"/>
      <c r="AU45" s="18"/>
      <c r="AV45" s="18"/>
      <c r="AW45" s="18"/>
      <c r="AX45" s="18"/>
      <c r="AY45" s="18"/>
      <c r="AZ45" s="18"/>
      <c r="BA45" s="18"/>
      <c r="BB45" s="18"/>
      <c r="BC45" s="18">
        <v>1</v>
      </c>
      <c r="BD45" s="18">
        <v>1</v>
      </c>
      <c r="BE45" s="18">
        <v>1</v>
      </c>
      <c r="BF45" s="18">
        <v>1</v>
      </c>
      <c r="BG45" s="18">
        <v>1</v>
      </c>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row>
    <row r="46" spans="2:121">
      <c r="B46" s="11">
        <v>32</v>
      </c>
      <c r="C46" s="12"/>
      <c r="D46" s="9"/>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row>
    <row r="47" spans="2:121">
      <c r="B47" s="11">
        <v>33</v>
      </c>
      <c r="C47" s="12"/>
      <c r="D47" s="9"/>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row>
    <row r="48" spans="2:121">
      <c r="B48" s="11">
        <v>34</v>
      </c>
      <c r="C48" s="12"/>
      <c r="D48" s="9"/>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row>
    <row r="50" spans="2:121">
      <c r="B50" s="7"/>
      <c r="C50" s="7" t="s">
        <v>44</v>
      </c>
      <c r="D50" s="10">
        <f>SUM(D15:D49)</f>
        <v>48897</v>
      </c>
      <c r="F50" s="10">
        <f t="shared" ref="F50:AK50" si="0">SUM(F15:F49)</f>
        <v>0</v>
      </c>
      <c r="G50" s="10">
        <f t="shared" si="0"/>
        <v>0</v>
      </c>
      <c r="H50" s="10">
        <f t="shared" si="0"/>
        <v>0</v>
      </c>
      <c r="I50" s="10">
        <f t="shared" si="0"/>
        <v>0</v>
      </c>
      <c r="J50" s="10">
        <f t="shared" si="0"/>
        <v>0</v>
      </c>
      <c r="K50" s="10">
        <f t="shared" si="0"/>
        <v>0</v>
      </c>
      <c r="L50" s="10">
        <f t="shared" si="0"/>
        <v>0</v>
      </c>
      <c r="M50" s="10">
        <f t="shared" si="0"/>
        <v>96</v>
      </c>
      <c r="N50" s="10">
        <f t="shared" si="0"/>
        <v>0</v>
      </c>
      <c r="O50" s="10">
        <f t="shared" si="0"/>
        <v>0</v>
      </c>
      <c r="P50" s="10">
        <f t="shared" si="0"/>
        <v>0</v>
      </c>
      <c r="Q50" s="10">
        <f t="shared" si="0"/>
        <v>0</v>
      </c>
      <c r="R50" s="10">
        <f t="shared" si="0"/>
        <v>0</v>
      </c>
      <c r="S50" s="10">
        <f t="shared" si="0"/>
        <v>0</v>
      </c>
      <c r="T50" s="10">
        <f t="shared" si="0"/>
        <v>0</v>
      </c>
      <c r="U50" s="10">
        <f t="shared" si="0"/>
        <v>0</v>
      </c>
      <c r="V50" s="10">
        <f t="shared" si="0"/>
        <v>0</v>
      </c>
      <c r="W50" s="10">
        <f t="shared" si="0"/>
        <v>0</v>
      </c>
      <c r="X50" s="10">
        <f t="shared" si="0"/>
        <v>0</v>
      </c>
      <c r="Y50" s="10">
        <f t="shared" si="0"/>
        <v>31</v>
      </c>
      <c r="Z50" s="10">
        <f t="shared" si="0"/>
        <v>0</v>
      </c>
      <c r="AA50" s="10">
        <f t="shared" si="0"/>
        <v>0</v>
      </c>
      <c r="AB50" s="10">
        <f t="shared" si="0"/>
        <v>0</v>
      </c>
      <c r="AC50" s="10">
        <f t="shared" si="0"/>
        <v>73</v>
      </c>
      <c r="AD50" s="10">
        <f t="shared" si="0"/>
        <v>6</v>
      </c>
      <c r="AE50" s="10">
        <f t="shared" si="0"/>
        <v>0</v>
      </c>
      <c r="AF50" s="10">
        <f t="shared" si="0"/>
        <v>45</v>
      </c>
      <c r="AG50" s="10">
        <f t="shared" si="0"/>
        <v>12</v>
      </c>
      <c r="AH50" s="10">
        <f t="shared" si="0"/>
        <v>0</v>
      </c>
      <c r="AI50" s="10">
        <f t="shared" si="0"/>
        <v>0</v>
      </c>
      <c r="AJ50" s="10">
        <f t="shared" si="0"/>
        <v>0</v>
      </c>
      <c r="AK50" s="10">
        <f t="shared" si="0"/>
        <v>0</v>
      </c>
      <c r="AL50" s="10">
        <f t="shared" ref="AL50:BG50" si="1">SUM(AL15:AL49)</f>
        <v>0</v>
      </c>
      <c r="AM50" s="10">
        <f t="shared" si="1"/>
        <v>0</v>
      </c>
      <c r="AN50" s="10">
        <f t="shared" si="1"/>
        <v>0</v>
      </c>
      <c r="AO50" s="10">
        <f t="shared" si="1"/>
        <v>0</v>
      </c>
      <c r="AP50" s="10">
        <f t="shared" si="1"/>
        <v>142</v>
      </c>
      <c r="AQ50" s="10">
        <f t="shared" si="1"/>
        <v>0</v>
      </c>
      <c r="AR50" s="10">
        <f t="shared" si="1"/>
        <v>0</v>
      </c>
      <c r="AS50" s="10">
        <f t="shared" si="1"/>
        <v>0</v>
      </c>
      <c r="AT50" s="10">
        <f t="shared" si="1"/>
        <v>0</v>
      </c>
      <c r="AU50" s="10">
        <f t="shared" si="1"/>
        <v>0</v>
      </c>
      <c r="AV50" s="10">
        <f t="shared" si="1"/>
        <v>0</v>
      </c>
      <c r="AW50" s="10">
        <f t="shared" si="1"/>
        <v>0</v>
      </c>
      <c r="AX50" s="10">
        <f t="shared" si="1"/>
        <v>0</v>
      </c>
      <c r="AY50" s="10">
        <f t="shared" si="1"/>
        <v>0</v>
      </c>
      <c r="AZ50" s="10">
        <f t="shared" si="1"/>
        <v>0</v>
      </c>
      <c r="BA50" s="10">
        <f t="shared" si="1"/>
        <v>0</v>
      </c>
      <c r="BB50" s="10">
        <f t="shared" si="1"/>
        <v>0</v>
      </c>
      <c r="BC50" s="10">
        <f t="shared" si="1"/>
        <v>98</v>
      </c>
      <c r="BD50" s="10">
        <f t="shared" si="1"/>
        <v>41</v>
      </c>
      <c r="BE50" s="10">
        <f t="shared" si="1"/>
        <v>15</v>
      </c>
      <c r="BF50" s="10">
        <f t="shared" si="1"/>
        <v>15</v>
      </c>
      <c r="BG50" s="10">
        <f t="shared" si="1"/>
        <v>22</v>
      </c>
      <c r="BI50" s="10">
        <f t="shared" ref="BI50:CN50" si="2">SUM(BI15:BI49)</f>
        <v>0</v>
      </c>
      <c r="BJ50" s="10">
        <f t="shared" si="2"/>
        <v>0</v>
      </c>
      <c r="BK50" s="10">
        <f t="shared" si="2"/>
        <v>0</v>
      </c>
      <c r="BL50" s="10">
        <f t="shared" si="2"/>
        <v>0</v>
      </c>
      <c r="BM50" s="10">
        <f t="shared" si="2"/>
        <v>0</v>
      </c>
      <c r="BN50" s="10">
        <f t="shared" si="2"/>
        <v>0</v>
      </c>
      <c r="BO50" s="10">
        <f t="shared" si="2"/>
        <v>0</v>
      </c>
      <c r="BP50" s="10">
        <f t="shared" si="2"/>
        <v>0</v>
      </c>
      <c r="BQ50" s="10">
        <f t="shared" si="2"/>
        <v>0</v>
      </c>
      <c r="BR50" s="10">
        <f t="shared" si="2"/>
        <v>0</v>
      </c>
      <c r="BS50" s="10">
        <f t="shared" si="2"/>
        <v>0</v>
      </c>
      <c r="BT50" s="10">
        <f t="shared" si="2"/>
        <v>0</v>
      </c>
      <c r="BU50" s="10">
        <f t="shared" si="2"/>
        <v>0</v>
      </c>
      <c r="BV50" s="10">
        <f t="shared" si="2"/>
        <v>0</v>
      </c>
      <c r="BW50" s="10">
        <f t="shared" si="2"/>
        <v>0</v>
      </c>
      <c r="BX50" s="10">
        <f t="shared" si="2"/>
        <v>0</v>
      </c>
      <c r="BY50" s="10">
        <f t="shared" si="2"/>
        <v>0</v>
      </c>
      <c r="BZ50" s="10">
        <f t="shared" si="2"/>
        <v>0</v>
      </c>
      <c r="CA50" s="10">
        <f t="shared" si="2"/>
        <v>0</v>
      </c>
      <c r="CB50" s="10">
        <f t="shared" si="2"/>
        <v>0</v>
      </c>
      <c r="CC50" s="10">
        <f t="shared" si="2"/>
        <v>0</v>
      </c>
      <c r="CD50" s="10">
        <f t="shared" si="2"/>
        <v>0</v>
      </c>
      <c r="CE50" s="10">
        <f t="shared" si="2"/>
        <v>0</v>
      </c>
      <c r="CF50" s="10">
        <f t="shared" si="2"/>
        <v>0</v>
      </c>
      <c r="CG50" s="10">
        <f t="shared" si="2"/>
        <v>0</v>
      </c>
      <c r="CH50" s="10">
        <f t="shared" si="2"/>
        <v>0</v>
      </c>
      <c r="CI50" s="10">
        <f t="shared" si="2"/>
        <v>0</v>
      </c>
      <c r="CJ50" s="10">
        <f t="shared" si="2"/>
        <v>0</v>
      </c>
      <c r="CK50" s="10">
        <f t="shared" si="2"/>
        <v>0</v>
      </c>
      <c r="CL50" s="10">
        <f t="shared" si="2"/>
        <v>0</v>
      </c>
      <c r="CM50" s="10">
        <f t="shared" si="2"/>
        <v>0</v>
      </c>
      <c r="CN50" s="10">
        <f t="shared" si="2"/>
        <v>0</v>
      </c>
      <c r="CO50" s="10">
        <f t="shared" ref="CO50:DQ50" si="3">SUM(CO15:CO49)</f>
        <v>0</v>
      </c>
      <c r="CP50" s="10">
        <f t="shared" si="3"/>
        <v>0</v>
      </c>
      <c r="CQ50" s="10">
        <f t="shared" si="3"/>
        <v>0</v>
      </c>
      <c r="CR50" s="10">
        <f t="shared" si="3"/>
        <v>0</v>
      </c>
      <c r="CS50" s="10">
        <f t="shared" si="3"/>
        <v>0</v>
      </c>
      <c r="CT50" s="10">
        <f t="shared" si="3"/>
        <v>0</v>
      </c>
      <c r="CU50" s="10">
        <f t="shared" si="3"/>
        <v>0</v>
      </c>
      <c r="CV50" s="10">
        <f t="shared" si="3"/>
        <v>0</v>
      </c>
      <c r="CW50" s="10">
        <f t="shared" si="3"/>
        <v>0</v>
      </c>
      <c r="CX50" s="10">
        <f t="shared" si="3"/>
        <v>0</v>
      </c>
      <c r="CY50" s="10">
        <f t="shared" si="3"/>
        <v>0</v>
      </c>
      <c r="CZ50" s="10">
        <f t="shared" si="3"/>
        <v>0</v>
      </c>
      <c r="DA50" s="10">
        <f t="shared" si="3"/>
        <v>0</v>
      </c>
      <c r="DB50" s="10">
        <f t="shared" si="3"/>
        <v>0</v>
      </c>
      <c r="DC50" s="10">
        <f t="shared" si="3"/>
        <v>0</v>
      </c>
      <c r="DD50" s="10">
        <f t="shared" si="3"/>
        <v>0</v>
      </c>
      <c r="DE50" s="10">
        <f t="shared" si="3"/>
        <v>0</v>
      </c>
      <c r="DF50" s="10">
        <f t="shared" si="3"/>
        <v>0</v>
      </c>
      <c r="DG50" s="10">
        <f t="shared" si="3"/>
        <v>0</v>
      </c>
      <c r="DH50" s="10">
        <f t="shared" si="3"/>
        <v>0</v>
      </c>
      <c r="DI50" s="10">
        <f t="shared" si="3"/>
        <v>0</v>
      </c>
      <c r="DJ50" s="10">
        <f t="shared" si="3"/>
        <v>0</v>
      </c>
      <c r="DK50" s="10">
        <f t="shared" si="3"/>
        <v>0</v>
      </c>
      <c r="DL50" s="10">
        <f t="shared" si="3"/>
        <v>0</v>
      </c>
      <c r="DM50" s="10">
        <f t="shared" si="3"/>
        <v>0</v>
      </c>
      <c r="DN50" s="10">
        <f t="shared" si="3"/>
        <v>0</v>
      </c>
      <c r="DO50" s="10">
        <f t="shared" si="3"/>
        <v>0</v>
      </c>
      <c r="DP50" s="10">
        <f t="shared" si="3"/>
        <v>0</v>
      </c>
      <c r="DQ50" s="10">
        <f t="shared" si="3"/>
        <v>0</v>
      </c>
    </row>
    <row r="51" spans="2:121" s="8" customFormat="1">
      <c r="B51" s="2"/>
      <c r="C51" s="2"/>
      <c r="D51" s="2"/>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row>
  </sheetData>
  <sheetProtection password="C2E9"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48 F15:BG48">
      <formula1>0</formula1>
    </dataValidation>
  </dataValidations>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Anette Pineda</cp:lastModifiedBy>
  <dcterms:created xsi:type="dcterms:W3CDTF">2018-04-04T07:34:36Z</dcterms:created>
  <dcterms:modified xsi:type="dcterms:W3CDTF">2018-08-24T09:20:44Z</dcterms:modified>
</cp:coreProperties>
</file>