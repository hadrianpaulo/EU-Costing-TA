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525" windowHeight="7050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_xlnm._FilterDatabase" localSheetId="1" hidden="1">'6.2 Staff Allocation'!$B$12:$E$137</definedName>
    <definedName name="Drugs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T126" i="2" l="1"/>
  <c r="DT125" i="2"/>
  <c r="DT124" i="2"/>
  <c r="DT122" i="2"/>
  <c r="DT121" i="2"/>
  <c r="DT120" i="2"/>
  <c r="DT118" i="2"/>
  <c r="DT117" i="2"/>
  <c r="DT116" i="2"/>
  <c r="DT115" i="2"/>
  <c r="DT114" i="2"/>
  <c r="DT113" i="2"/>
  <c r="DT111" i="2"/>
  <c r="DT99" i="2"/>
  <c r="DT93" i="2"/>
  <c r="DT92" i="2"/>
  <c r="DT37" i="2"/>
  <c r="DT35" i="2"/>
  <c r="DT31" i="2"/>
  <c r="DT24" i="2"/>
  <c r="DT22" i="2"/>
  <c r="DT19" i="2"/>
  <c r="DT16" i="2"/>
  <c r="DT14" i="2"/>
  <c r="DT13" i="2"/>
  <c r="DT91" i="2" l="1"/>
  <c r="DT90" i="2"/>
  <c r="DT89" i="2"/>
  <c r="DT88" i="2"/>
  <c r="DT87" i="2"/>
  <c r="DT86" i="2"/>
  <c r="DT85" i="2"/>
  <c r="DT84" i="2"/>
  <c r="DT83" i="2"/>
  <c r="DT82" i="2"/>
  <c r="DT81" i="2"/>
  <c r="DT80" i="2"/>
  <c r="DT79" i="2"/>
  <c r="DT78" i="2"/>
  <c r="DT77" i="2"/>
  <c r="DT76" i="2"/>
  <c r="DT75" i="2"/>
  <c r="DT74" i="2"/>
  <c r="DT73" i="2"/>
  <c r="DT72" i="2"/>
  <c r="DT71" i="2"/>
  <c r="DT70" i="2"/>
  <c r="DT69" i="2"/>
  <c r="DT68" i="2"/>
  <c r="DT67" i="2"/>
  <c r="DT66" i="2"/>
  <c r="DT65" i="2"/>
  <c r="DT64" i="2"/>
  <c r="DT63" i="2"/>
  <c r="DT62" i="2"/>
  <c r="DT61" i="2"/>
  <c r="DT60" i="2"/>
  <c r="DT59" i="2"/>
  <c r="DT58" i="2"/>
  <c r="DT57" i="2"/>
  <c r="DT56" i="2"/>
  <c r="DT55" i="2"/>
  <c r="DT54" i="2"/>
  <c r="DT53" i="2"/>
  <c r="DT52" i="2"/>
  <c r="DT51" i="2"/>
  <c r="DT50" i="2"/>
  <c r="DT49" i="2"/>
  <c r="DT48" i="2"/>
  <c r="DT47" i="2"/>
  <c r="DT46" i="2"/>
  <c r="DT45" i="2"/>
  <c r="DT44" i="2"/>
  <c r="DT43" i="2"/>
  <c r="DT42" i="2"/>
  <c r="DT110" i="2"/>
  <c r="DT107" i="2"/>
  <c r="DT104" i="2"/>
  <c r="DT100" i="2"/>
  <c r="DT97" i="2"/>
  <c r="DT41" i="2" l="1"/>
  <c r="DT40" i="2"/>
  <c r="DT39" i="2"/>
  <c r="DT38" i="2"/>
  <c r="DT36" i="2"/>
  <c r="DT34" i="2"/>
  <c r="DT33" i="2"/>
  <c r="DT32" i="2"/>
  <c r="DT30" i="2"/>
  <c r="DT29" i="2"/>
  <c r="DT28" i="2"/>
  <c r="DT27" i="2"/>
  <c r="DT26" i="2"/>
  <c r="DT25" i="2"/>
  <c r="DT23" i="2"/>
  <c r="B22" i="2" l="1"/>
  <c r="DT21" i="2"/>
  <c r="B21" i="2"/>
  <c r="DT20" i="2"/>
  <c r="B20" i="2"/>
  <c r="B19" i="2"/>
  <c r="B3" i="5"/>
  <c r="B5" i="5"/>
  <c r="B7" i="5"/>
  <c r="B9" i="5"/>
  <c r="B11" i="5"/>
  <c r="B13" i="5"/>
  <c r="B15" i="5"/>
  <c r="B17" i="5"/>
  <c r="B19" i="5"/>
  <c r="B21" i="5"/>
  <c r="B23" i="5"/>
  <c r="B25" i="5"/>
  <c r="B27" i="5"/>
  <c r="B29" i="5"/>
  <c r="B31" i="5"/>
  <c r="B33" i="5"/>
  <c r="B35" i="5"/>
  <c r="B37" i="5"/>
  <c r="B39" i="5"/>
  <c r="B41" i="5"/>
  <c r="B43" i="5"/>
  <c r="B45" i="5"/>
  <c r="B47" i="5"/>
  <c r="B49" i="5"/>
  <c r="B51" i="5"/>
  <c r="B53" i="5"/>
  <c r="B55" i="5"/>
  <c r="B57" i="5"/>
  <c r="B59" i="5"/>
  <c r="B61" i="5"/>
  <c r="B63" i="5"/>
  <c r="B64" i="5"/>
  <c r="B65" i="5"/>
  <c r="B66" i="5"/>
  <c r="B67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4" i="3"/>
  <c r="B2" i="5" s="1"/>
  <c r="C5" i="3"/>
  <c r="C6" i="3"/>
  <c r="B4" i="5" s="1"/>
  <c r="C7" i="3"/>
  <c r="C8" i="3"/>
  <c r="B6" i="5" s="1"/>
  <c r="C9" i="3"/>
  <c r="C10" i="3"/>
  <c r="B8" i="5" s="1"/>
  <c r="C11" i="3"/>
  <c r="C12" i="3"/>
  <c r="B10" i="5" s="1"/>
  <c r="C13" i="3"/>
  <c r="C14" i="3"/>
  <c r="B12" i="5" s="1"/>
  <c r="C15" i="3"/>
  <c r="C16" i="3"/>
  <c r="B14" i="5" s="1"/>
  <c r="C17" i="3"/>
  <c r="C18" i="3"/>
  <c r="B16" i="5" s="1"/>
  <c r="C19" i="3"/>
  <c r="C20" i="3"/>
  <c r="B18" i="5" s="1"/>
  <c r="C21" i="3"/>
  <c r="C22" i="3"/>
  <c r="B20" i="5" s="1"/>
  <c r="C23" i="3"/>
  <c r="C24" i="3"/>
  <c r="B22" i="5" s="1"/>
  <c r="C25" i="3"/>
  <c r="C26" i="3"/>
  <c r="B24" i="5" s="1"/>
  <c r="C27" i="3"/>
  <c r="C28" i="3"/>
  <c r="B26" i="5" s="1"/>
  <c r="C29" i="3"/>
  <c r="C30" i="3"/>
  <c r="B28" i="5" s="1"/>
  <c r="C31" i="3"/>
  <c r="C32" i="3"/>
  <c r="B30" i="5" s="1"/>
  <c r="C33" i="3"/>
  <c r="C34" i="3"/>
  <c r="B32" i="5" s="1"/>
  <c r="C35" i="3"/>
  <c r="C36" i="3"/>
  <c r="B34" i="5" s="1"/>
  <c r="C37" i="3"/>
  <c r="C38" i="3"/>
  <c r="B36" i="5" s="1"/>
  <c r="C39" i="3"/>
  <c r="C40" i="3"/>
  <c r="B38" i="5" s="1"/>
  <c r="C41" i="3"/>
  <c r="C42" i="3"/>
  <c r="B40" i="5" s="1"/>
  <c r="C43" i="3"/>
  <c r="C44" i="3"/>
  <c r="B42" i="5" s="1"/>
  <c r="C45" i="3"/>
  <c r="C46" i="3"/>
  <c r="B44" i="5" s="1"/>
  <c r="C47" i="3"/>
  <c r="C48" i="3"/>
  <c r="B46" i="5" s="1"/>
  <c r="C49" i="3"/>
  <c r="C50" i="3"/>
  <c r="B48" i="5" s="1"/>
  <c r="C51" i="3"/>
  <c r="C52" i="3"/>
  <c r="B50" i="5" s="1"/>
  <c r="C53" i="3"/>
  <c r="C54" i="3"/>
  <c r="B52" i="5" s="1"/>
  <c r="C55" i="3"/>
  <c r="C56" i="3"/>
  <c r="B54" i="5" s="1"/>
  <c r="C57" i="3"/>
  <c r="C58" i="3"/>
  <c r="B56" i="5" s="1"/>
  <c r="C59" i="3"/>
  <c r="C60" i="3"/>
  <c r="B58" i="5" s="1"/>
  <c r="C61" i="3"/>
  <c r="C62" i="3"/>
  <c r="B60" i="5" s="1"/>
  <c r="C63" i="3"/>
  <c r="C64" i="3"/>
  <c r="B62" i="5" s="1"/>
  <c r="DT18" i="2" l="1"/>
  <c r="DT17" i="2"/>
  <c r="DT15" i="2"/>
  <c r="B18" i="2"/>
  <c r="B17" i="2"/>
  <c r="B16" i="2"/>
  <c r="B15" i="2"/>
  <c r="B14" i="2"/>
  <c r="B13" i="2"/>
</calcChain>
</file>

<file path=xl/sharedStrings.xml><?xml version="1.0" encoding="utf-8"?>
<sst xmlns="http://schemas.openxmlformats.org/spreadsheetml/2006/main" count="1208" uniqueCount="231">
  <si>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</si>
  <si>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</si>
  <si>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</si>
  <si>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</si>
  <si>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</si>
  <si>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</si>
  <si>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</si>
  <si>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</si>
  <si>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</si>
  <si>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</si>
  <si>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</si>
  <si>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</si>
  <si>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</si>
  <si>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</si>
  <si>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</si>
  <si>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</si>
  <si>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</si>
  <si>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</si>
  <si>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</si>
  <si>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</si>
  <si>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</si>
  <si>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</si>
  <si>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</si>
  <si>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</si>
  <si>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</si>
  <si>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</si>
  <si>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</si>
  <si>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</si>
  <si>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</si>
  <si>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</si>
  <si>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</si>
  <si>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</si>
  <si>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</si>
  <si>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</si>
  <si>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</si>
  <si>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</si>
  <si>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</si>
  <si>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</si>
  <si>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</si>
  <si>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</si>
  <si>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</si>
  <si>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</si>
  <si>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</si>
  <si>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</si>
  <si>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</si>
  <si>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</si>
  <si>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</si>
  <si>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</si>
  <si>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</si>
  <si>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</si>
  <si>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</si>
  <si>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</si>
  <si>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</si>
  <si>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</si>
  <si>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</si>
  <si>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</si>
  <si>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</si>
  <si>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</si>
  <si>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</si>
  <si>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</si>
  <si>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</si>
  <si>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</si>
  <si>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</si>
  <si>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</si>
  <si>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</si>
  <si>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</si>
  <si>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</si>
  <si>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</si>
  <si>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</si>
  <si>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</si>
  <si>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</si>
  <si>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</si>
  <si>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</si>
  <si>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</si>
  <si>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</si>
  <si>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</si>
  <si>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</si>
  <si>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</si>
  <si>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</si>
  <si>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</si>
  <si>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</si>
  <si>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</si>
  <si>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</si>
  <si>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</si>
  <si>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</si>
  <si>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</si>
  <si>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</si>
  <si>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</si>
  <si>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</si>
  <si>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</si>
  <si>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</si>
  <si>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</si>
  <si>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</si>
  <si>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</si>
  <si>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</si>
  <si>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</si>
  <si>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</si>
  <si>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</si>
  <si>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Level II and III</t>
  </si>
  <si>
    <t>Time period covered:</t>
  </si>
  <si>
    <t>H - 1</t>
  </si>
  <si>
    <t>H - 2</t>
  </si>
  <si>
    <t>H - 3</t>
  </si>
  <si>
    <t>H - 4</t>
  </si>
  <si>
    <t>F - 1</t>
  </si>
  <si>
    <t>A - 1</t>
  </si>
  <si>
    <t>H - 5</t>
  </si>
  <si>
    <t>M - 1</t>
  </si>
  <si>
    <t>A - 2</t>
  </si>
  <si>
    <t>H - 6</t>
  </si>
  <si>
    <t>M - 2</t>
  </si>
  <si>
    <t>H - 7</t>
  </si>
  <si>
    <t>R - 1</t>
  </si>
  <si>
    <t>M - 3</t>
  </si>
  <si>
    <t>A - 3</t>
  </si>
  <si>
    <t>F - 2</t>
  </si>
  <si>
    <t>H - 8</t>
  </si>
  <si>
    <t>PT - 1</t>
  </si>
  <si>
    <t>H - 9</t>
  </si>
  <si>
    <t>Staff Nurse</t>
  </si>
  <si>
    <t>Midwife</t>
  </si>
  <si>
    <t>Billing/Admitting Clerk</t>
  </si>
  <si>
    <t>Admin Clerk</t>
  </si>
  <si>
    <t>Housekeeper</t>
  </si>
  <si>
    <t>Admin Director</t>
  </si>
  <si>
    <t>Rad Tech Aide</t>
  </si>
  <si>
    <t>HR Assistant</t>
  </si>
  <si>
    <t>Accounting Clerk</t>
  </si>
  <si>
    <t>Physical Therapist</t>
  </si>
  <si>
    <t>M - 4</t>
  </si>
  <si>
    <t>P - 1</t>
  </si>
  <si>
    <t>Pharmacist</t>
  </si>
  <si>
    <t>M - 5</t>
  </si>
  <si>
    <t>H - 10</t>
  </si>
  <si>
    <t>F - 3</t>
  </si>
  <si>
    <t>Cashier 1</t>
  </si>
  <si>
    <t>H - 11</t>
  </si>
  <si>
    <t>P - 2</t>
  </si>
  <si>
    <t>Head - Pharmacist</t>
  </si>
  <si>
    <t>PT - 2</t>
  </si>
  <si>
    <t>M - 6</t>
  </si>
  <si>
    <t>F - 4</t>
  </si>
  <si>
    <t>Cashier 2</t>
  </si>
  <si>
    <t>H - 12</t>
  </si>
  <si>
    <t>H - 13</t>
  </si>
  <si>
    <t>L - 1</t>
  </si>
  <si>
    <t>Lab Secretary</t>
  </si>
  <si>
    <t>F - 5</t>
  </si>
  <si>
    <t>Cashier 3</t>
  </si>
  <si>
    <t>H - 14</t>
  </si>
  <si>
    <t>M - 7</t>
  </si>
  <si>
    <t>Cook 1</t>
  </si>
  <si>
    <t>F - 6</t>
  </si>
  <si>
    <t>Philhealth Officer</t>
  </si>
  <si>
    <t>H - 15</t>
  </si>
  <si>
    <t>M - 8</t>
  </si>
  <si>
    <t>Cook 2</t>
  </si>
  <si>
    <t xml:space="preserve">AMB - 1 </t>
  </si>
  <si>
    <t>Ambulance Driver</t>
  </si>
  <si>
    <t>A - 4</t>
  </si>
  <si>
    <t xml:space="preserve">Purchasing </t>
  </si>
  <si>
    <t>H - 16</t>
  </si>
  <si>
    <t>Medical Director</t>
  </si>
  <si>
    <t>F - 7</t>
  </si>
  <si>
    <t>Head - Accounting</t>
  </si>
  <si>
    <t>H - 17</t>
  </si>
  <si>
    <t>L -2</t>
  </si>
  <si>
    <t>Medical Technologist</t>
  </si>
  <si>
    <t>F - 8</t>
  </si>
  <si>
    <t>Business Office Clerk</t>
  </si>
  <si>
    <t>L - 3</t>
  </si>
  <si>
    <t>Chief Med Technologist</t>
  </si>
  <si>
    <t>M - 9</t>
  </si>
  <si>
    <t>Maintenance</t>
  </si>
  <si>
    <t>P - 3</t>
  </si>
  <si>
    <t>H - 18</t>
  </si>
  <si>
    <t>R - 2</t>
  </si>
  <si>
    <t>Chied Rad Technologist</t>
  </si>
  <si>
    <t>H - 19</t>
  </si>
  <si>
    <t>H - 20</t>
  </si>
  <si>
    <t>H - 21</t>
  </si>
  <si>
    <t>H - 22</t>
  </si>
  <si>
    <t>H - 23</t>
  </si>
  <si>
    <t>H - 24</t>
  </si>
  <si>
    <t>A - 5</t>
  </si>
  <si>
    <t>HR Head</t>
  </si>
  <si>
    <t>H - 25</t>
  </si>
  <si>
    <t>H - 26</t>
  </si>
  <si>
    <t>Chief Nurse</t>
  </si>
  <si>
    <t>H -27</t>
  </si>
  <si>
    <t>PT - 3</t>
  </si>
  <si>
    <t>H - 28</t>
  </si>
  <si>
    <t>Reliever Nurse</t>
  </si>
  <si>
    <t>H - 29</t>
  </si>
  <si>
    <t>H - 30</t>
  </si>
  <si>
    <t>M - 10</t>
  </si>
  <si>
    <t>Reliever Housekeeper</t>
  </si>
  <si>
    <t>M - 11</t>
  </si>
  <si>
    <t>M - 12</t>
  </si>
  <si>
    <t>M - 13</t>
  </si>
  <si>
    <t>M - 14</t>
  </si>
  <si>
    <t>Reliever Cook</t>
  </si>
  <si>
    <t>F - 9</t>
  </si>
  <si>
    <t>Finance Director</t>
  </si>
  <si>
    <t>M - 15</t>
  </si>
  <si>
    <t>Maintenance Supervisor</t>
  </si>
  <si>
    <t>M - 16</t>
  </si>
  <si>
    <t>Dietary &amp; Laundry Supervisor</t>
  </si>
  <si>
    <t>H - 31</t>
  </si>
  <si>
    <t>Dietician</t>
  </si>
  <si>
    <t>F - 10</t>
  </si>
  <si>
    <t>Social Worker</t>
  </si>
  <si>
    <t>Full time</t>
  </si>
  <si>
    <t>Part time</t>
  </si>
  <si>
    <t>Full time (Resigned)</t>
  </si>
  <si>
    <t>OIC Chief Nurse</t>
  </si>
  <si>
    <t>Hospital Department</t>
  </si>
  <si>
    <t>Probationary</t>
  </si>
  <si>
    <t>Permanent</t>
  </si>
  <si>
    <t>Finance Department</t>
  </si>
  <si>
    <t>Admin Department</t>
  </si>
  <si>
    <t>Maintenance Department</t>
  </si>
  <si>
    <t>Radiology Department</t>
  </si>
  <si>
    <t>RMPT Department</t>
  </si>
  <si>
    <t>Pharmacy Department</t>
  </si>
  <si>
    <t>OIC Nurse</t>
  </si>
  <si>
    <t>Laboratory Department</t>
  </si>
  <si>
    <t xml:space="preserve">Ambulance </t>
  </si>
  <si>
    <t>Contractual</t>
  </si>
  <si>
    <t>Reliever</t>
  </si>
  <si>
    <t>Retainer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</si>
</sst>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1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6" fillId="0" borderId="0"/>
    <xf numFmtId="9" fontId="12" fillId="0" borderId="0" applyFont="0" applyFill="0" applyBorder="0" applyAlignment="0" applyProtection="0"/>
    <xf numFmtId="0" fontId="12" fillId="0" borderId="0"/>
  </cellStyleXfs>
  <cellXfs count="113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7" fillId="0" borderId="0" xfId="0" applyFont="1"/>
    <xf numFmtId="0" fontId="13" fillId="2" borderId="0" xfId="0" applyFont="1" applyFill="1"/>
    <xf numFmtId="0" fontId="7" fillId="2" borderId="0" xfId="0" applyFont="1" applyFill="1"/>
    <xf numFmtId="0" fontId="14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5" fillId="0" borderId="0" xfId="0" applyFont="1" applyProtection="1"/>
    <xf numFmtId="0" fontId="15" fillId="0" borderId="0" xfId="0" applyFont="1"/>
    <xf numFmtId="0" fontId="15" fillId="0" borderId="0" xfId="0" applyFont="1" applyAlignment="1" applyProtection="1">
      <alignment horizontal="center" wrapText="1"/>
    </xf>
    <xf numFmtId="0" fontId="7" fillId="4" borderId="1" xfId="5" applyFont="1" applyFill="1" applyBorder="1" applyAlignment="1">
      <alignment horizontal="left" vertic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0" xfId="0" applyFont="1" applyFill="1" applyBorder="1" applyAlignment="1" applyProtection="1">
      <alignment horizontal="left" vertical="center"/>
    </xf>
    <xf numFmtId="0" fontId="19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7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5" fillId="4" borderId="1" xfId="1" applyFont="1" applyFill="1" applyBorder="1" applyAlignment="1">
      <alignment vertical="top" wrapText="1"/>
    </xf>
    <xf numFmtId="9" fontId="17" fillId="5" borderId="5" xfId="6" applyFont="1" applyFill="1" applyBorder="1" applyProtection="1">
      <protection locked="0"/>
    </xf>
    <xf numFmtId="9" fontId="20" fillId="0" borderId="0" xfId="6" applyFont="1" applyAlignment="1" applyProtection="1">
      <alignment horizontal="center" wrapText="1"/>
    </xf>
    <xf numFmtId="9" fontId="17" fillId="0" borderId="0" xfId="6" applyFont="1"/>
    <xf numFmtId="9" fontId="21" fillId="0" borderId="1" xfId="6" applyFont="1" applyFill="1" applyBorder="1" applyAlignment="1">
      <alignment vertical="top" wrapText="1"/>
    </xf>
    <xf numFmtId="0" fontId="2" fillId="3" borderId="1" xfId="0" applyFont="1" applyFill="1" applyBorder="1" applyAlignment="1">
      <alignment vertical="center"/>
    </xf>
    <xf numFmtId="0" fontId="11" fillId="3" borderId="1" xfId="1" applyFont="1" applyFill="1" applyBorder="1" applyAlignment="1">
      <alignment vertical="center"/>
    </xf>
    <xf numFmtId="0" fontId="8" fillId="3" borderId="1" xfId="1" applyFont="1" applyFill="1" applyBorder="1" applyAlignment="1">
      <alignment vertical="center"/>
    </xf>
    <xf numFmtId="0" fontId="5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6" fillId="0" borderId="0" xfId="5" applyFont="1" applyAlignment="1"/>
    <xf numFmtId="0" fontId="7" fillId="0" borderId="0" xfId="5" applyFont="1"/>
    <xf numFmtId="0" fontId="23" fillId="0" borderId="0" xfId="5" applyFont="1"/>
    <xf numFmtId="0" fontId="7" fillId="0" borderId="0" xfId="5" applyFont="1" applyAlignment="1"/>
    <xf numFmtId="0" fontId="7" fillId="0" borderId="0" xfId="5" applyFont="1" applyAlignment="1">
      <alignment horizontal="center" vertical="center"/>
    </xf>
    <xf numFmtId="0" fontId="7" fillId="0" borderId="14" xfId="5" applyFont="1" applyBorder="1"/>
    <xf numFmtId="0" fontId="7" fillId="0" borderId="15" xfId="5" applyFont="1" applyBorder="1" applyAlignment="1">
      <alignment vertical="center"/>
    </xf>
    <xf numFmtId="0" fontId="7" fillId="0" borderId="16" xfId="5" applyFont="1" applyBorder="1"/>
    <xf numFmtId="0" fontId="7" fillId="0" borderId="16" xfId="5" applyFont="1" applyBorder="1" applyAlignment="1"/>
    <xf numFmtId="0" fontId="9" fillId="0" borderId="16" xfId="5" applyFont="1" applyBorder="1" applyAlignment="1"/>
    <xf numFmtId="0" fontId="7" fillId="0" borderId="17" xfId="5" applyFont="1" applyBorder="1"/>
    <xf numFmtId="0" fontId="8" fillId="0" borderId="14" xfId="5" applyFont="1" applyBorder="1" applyAlignment="1"/>
    <xf numFmtId="0" fontId="7" fillId="0" borderId="17" xfId="5" applyFont="1" applyBorder="1" applyAlignment="1"/>
    <xf numFmtId="0" fontId="7" fillId="0" borderId="18" xfId="5" applyFont="1" applyBorder="1" applyAlignment="1"/>
    <xf numFmtId="0" fontId="7" fillId="0" borderId="19" xfId="5" applyFont="1" applyBorder="1" applyAlignment="1">
      <alignment vertical="center"/>
    </xf>
    <xf numFmtId="0" fontId="7" fillId="0" borderId="18" xfId="5" applyFont="1" applyBorder="1"/>
    <xf numFmtId="0" fontId="7" fillId="0" borderId="20" xfId="5" applyFont="1" applyBorder="1"/>
    <xf numFmtId="0" fontId="7" fillId="0" borderId="15" xfId="5" applyFont="1" applyBorder="1" applyAlignment="1">
      <alignment horizontal="center"/>
    </xf>
    <xf numFmtId="0" fontId="10" fillId="0" borderId="0" xfId="5" applyFont="1"/>
    <xf numFmtId="0" fontId="8" fillId="0" borderId="0" xfId="5" applyFont="1"/>
    <xf numFmtId="0" fontId="24" fillId="0" borderId="0" xfId="5" applyFont="1" applyAlignment="1"/>
    <xf numFmtId="0" fontId="7" fillId="0" borderId="21" xfId="5" applyFont="1" applyBorder="1" applyAlignment="1"/>
    <xf numFmtId="0" fontId="7" fillId="0" borderId="21" xfId="5" applyFont="1" applyBorder="1" applyAlignment="1">
      <alignment vertical="center"/>
    </xf>
    <xf numFmtId="0" fontId="8" fillId="0" borderId="21" xfId="5" applyFont="1" applyBorder="1" applyAlignment="1"/>
    <xf numFmtId="0" fontId="7" fillId="0" borderId="22" xfId="5" applyFont="1" applyBorder="1" applyAlignment="1"/>
    <xf numFmtId="0" fontId="7" fillId="0" borderId="23" xfId="5" applyFont="1" applyBorder="1" applyAlignment="1"/>
    <xf numFmtId="0" fontId="7" fillId="0" borderId="21" xfId="5" applyFont="1" applyBorder="1"/>
    <xf numFmtId="0" fontId="7" fillId="0" borderId="24" xfId="5" applyFont="1" applyBorder="1" applyAlignment="1"/>
    <xf numFmtId="0" fontId="7" fillId="0" borderId="25" xfId="5" applyFont="1" applyBorder="1" applyAlignment="1"/>
    <xf numFmtId="0" fontId="7" fillId="0" borderId="26" xfId="5" applyFont="1" applyBorder="1" applyAlignment="1"/>
    <xf numFmtId="0" fontId="10" fillId="0" borderId="0" xfId="5" applyFont="1" applyAlignment="1"/>
    <xf numFmtId="0" fontId="12" fillId="0" borderId="0" xfId="7"/>
    <xf numFmtId="0" fontId="22" fillId="0" borderId="0" xfId="7" applyFont="1"/>
    <xf numFmtId="0" fontId="3" fillId="4" borderId="10" xfId="0" applyFont="1" applyFill="1" applyBorder="1"/>
    <xf numFmtId="0" fontId="25" fillId="5" borderId="1" xfId="0" applyFont="1" applyFill="1" applyBorder="1" applyAlignment="1">
      <alignment horizontal="center"/>
    </xf>
    <xf numFmtId="0" fontId="26" fillId="0" borderId="0" xfId="1" applyFont="1" applyFill="1" applyBorder="1" applyAlignment="1">
      <alignment horizontal="left"/>
    </xf>
    <xf numFmtId="0" fontId="4" fillId="0" borderId="1" xfId="1" applyFont="1" applyFill="1" applyBorder="1" applyProtection="1">
      <protection locked="0"/>
    </xf>
    <xf numFmtId="2" fontId="4" fillId="0" borderId="1" xfId="1" applyNumberFormat="1" applyFont="1" applyFill="1" applyBorder="1" applyProtection="1">
      <protection locked="0"/>
    </xf>
    <xf numFmtId="9" fontId="17" fillId="5" borderId="27" xfId="6" applyFont="1" applyFill="1" applyBorder="1" applyProtection="1">
      <protection locked="0"/>
    </xf>
    <xf numFmtId="0" fontId="2" fillId="0" borderId="28" xfId="0" applyFont="1" applyBorder="1"/>
    <xf numFmtId="0" fontId="0" fillId="0" borderId="5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Fill="1" applyBorder="1" applyProtection="1">
      <protection locked="0"/>
    </xf>
    <xf numFmtId="9" fontId="2" fillId="0" borderId="1" xfId="0" applyNumberFormat="1" applyFont="1" applyBorder="1"/>
    <xf numFmtId="9" fontId="25" fillId="0" borderId="1" xfId="0" applyNumberFormat="1" applyFont="1" applyBorder="1"/>
    <xf numFmtId="9" fontId="21" fillId="0" borderId="1" xfId="0" applyNumberFormat="1" applyFont="1" applyBorder="1"/>
    <xf numFmtId="9" fontId="17" fillId="0" borderId="28" xfId="0" applyNumberFormat="1" applyFont="1" applyBorder="1"/>
    <xf numFmtId="0" fontId="17" fillId="0" borderId="1" xfId="0" applyFont="1" applyBorder="1"/>
    <xf numFmtId="9" fontId="17" fillId="0" borderId="1" xfId="0" applyNumberFormat="1" applyFont="1" applyBorder="1"/>
    <xf numFmtId="9" fontId="20" fillId="0" borderId="1" xfId="0" applyNumberFormat="1" applyFont="1" applyBorder="1"/>
    <xf numFmtId="0" fontId="10" fillId="3" borderId="1" xfId="5" applyFont="1" applyFill="1" applyBorder="1" applyAlignment="1">
      <alignment horizontal="center" vertical="center" wrapText="1"/>
    </xf>
    <xf numFmtId="0" fontId="16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7" fillId="3" borderId="2" xfId="5" applyFont="1" applyFill="1" applyBorder="1" applyAlignment="1">
      <alignment wrapText="1"/>
    </xf>
    <xf numFmtId="0" fontId="7" fillId="3" borderId="3" xfId="5" applyFont="1" applyFill="1" applyBorder="1" applyAlignment="1">
      <alignment wrapText="1"/>
    </xf>
    <xf numFmtId="0" fontId="7" fillId="3" borderId="4" xfId="5" applyFont="1" applyFill="1" applyBorder="1" applyAlignment="1">
      <alignment wrapText="1"/>
    </xf>
    <xf numFmtId="0" fontId="7" fillId="3" borderId="1" xfId="5" applyFont="1" applyFill="1" applyBorder="1" applyAlignment="1">
      <alignment wrapText="1"/>
    </xf>
    <xf numFmtId="0" fontId="9" fillId="3" borderId="1" xfId="5" applyFont="1" applyFill="1" applyBorder="1" applyAlignment="1">
      <alignment wrapText="1"/>
    </xf>
    <xf numFmtId="0" fontId="7" fillId="3" borderId="1" xfId="5" applyFont="1" applyFill="1" applyBorder="1" applyAlignment="1">
      <alignment horizontal="center" vertical="center" wrapText="1"/>
    </xf>
    <xf numFmtId="0" fontId="10" fillId="4" borderId="1" xfId="5" applyFont="1" applyFill="1" applyBorder="1" applyAlignment="1">
      <alignment horizontal="center" vertical="center" wrapText="1"/>
    </xf>
    <xf numFmtId="0" fontId="16" fillId="4" borderId="1" xfId="5" applyFont="1" applyFill="1" applyBorder="1" applyAlignment="1">
      <alignment wrapText="1"/>
    </xf>
  </cellXfs>
  <cellStyles count="8">
    <cellStyle name="Comma 2" xfId="4"/>
    <cellStyle name="Normal" xfId="0" builtinId="0"/>
    <cellStyle name="Normal 2" xfId="1"/>
    <cellStyle name="Normal 2 2" xfId="5"/>
    <cellStyle name="Normal 2 3" xfId="7"/>
    <cellStyle name="Percent" xfId="6" builtinId="5"/>
    <cellStyle name="Percent 2" xfId="2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10</xdr:row>
          <xdr:rowOff>0</xdr:rowOff>
        </xdr:from>
        <xdr:to>
          <xdr:col>3</xdr:col>
          <xdr:colOff>1428750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1457325</xdr:colOff>
          <xdr:row>10</xdr:row>
          <xdr:rowOff>0</xdr:rowOff>
        </xdr:from>
        <xdr:to>
          <xdr:col>5</xdr:col>
          <xdr:colOff>514350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13</xdr:row>
          <xdr:rowOff>19050</xdr:rowOff>
        </xdr:from>
        <xdr:to>
          <xdr:col>1</xdr:col>
          <xdr:colOff>933450</xdr:colOff>
          <xdr:row>13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990600</xdr:colOff>
          <xdr:row>13</xdr:row>
          <xdr:rowOff>19050</xdr:rowOff>
        </xdr:from>
        <xdr:to>
          <xdr:col>2</xdr:col>
          <xdr:colOff>0</xdr:colOff>
          <xdr:row>13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Y93"/>
  <sheetViews>
    <sheetView showGridLines="0" tabSelected="1" topLeftCell="A50" zoomScale="85" zoomScaleNormal="85" workbookViewId="0">
      <selection activeCell="A57" sqref="A57"/>
    </sheetView>
  </sheetViews>
  <sheetFormatPr defaultColWidth="8.7109375" defaultRowHeight="16.5" outlineLevelRow="1" x14ac:dyDescent="0.3"/>
  <cols>
    <col min="1" max="1" width="3.85546875" style="5" customWidth="1"/>
    <col min="2" max="2" width="25" style="1" customWidth="1"/>
    <col min="3" max="3" width="30" style="1" customWidth="1"/>
    <col min="4" max="4" width="27.140625" style="1" customWidth="1"/>
    <col min="5" max="5" width="12.42578125" style="1" hidden="1" customWidth="1"/>
    <col min="6" max="6" width="31.28515625" style="1" customWidth="1"/>
    <col min="7" max="7" width="24.5703125" style="1" customWidth="1"/>
    <col min="8" max="8" width="20.7109375" style="1" customWidth="1"/>
    <col min="9" max="16384" width="8.7109375" style="1"/>
  </cols>
  <sheetData>
    <row r="2" spans="1:25" s="12" customFormat="1" ht="13.5" customHeight="1" x14ac:dyDescent="0.3">
      <c r="A2" s="8"/>
      <c r="B2" s="9" t="s">
        <v>2</v>
      </c>
      <c r="C2" s="10"/>
      <c r="D2" s="11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</row>
    <row r="4" spans="1:25" ht="13.9" hidden="1" outlineLevel="1" x14ac:dyDescent="0.25">
      <c r="B4" s="1" t="s">
        <v>89</v>
      </c>
      <c r="C4" s="1">
        <v>80</v>
      </c>
      <c r="D4" s="1" t="s">
        <v>98</v>
      </c>
    </row>
    <row r="5" spans="1:25" ht="13.9" collapsed="1" x14ac:dyDescent="0.25">
      <c r="B5" s="22" t="s">
        <v>8</v>
      </c>
      <c r="C5" s="23"/>
      <c r="D5" s="23"/>
      <c r="E5" s="23"/>
      <c r="F5" s="23"/>
      <c r="G5" s="24"/>
    </row>
    <row r="6" spans="1:25" ht="13.9" x14ac:dyDescent="0.25">
      <c r="B6" s="25" t="s">
        <v>9</v>
      </c>
      <c r="C6" s="26"/>
      <c r="D6" s="26"/>
      <c r="E6" s="26"/>
      <c r="F6" s="26"/>
      <c r="G6" s="27"/>
    </row>
    <row r="7" spans="1:25" ht="13.9" x14ac:dyDescent="0.25">
      <c r="B7" s="25" t="s">
        <v>10</v>
      </c>
      <c r="C7" s="78">
        <v>2017</v>
      </c>
      <c r="D7" s="26"/>
      <c r="E7" s="26"/>
      <c r="F7" s="26"/>
      <c r="G7" s="27"/>
    </row>
    <row r="8" spans="1:25" s="5" customFormat="1" ht="13.9" x14ac:dyDescent="0.25">
      <c r="B8" s="77" t="s">
        <v>99</v>
      </c>
      <c r="C8" s="26"/>
      <c r="D8" s="26"/>
      <c r="E8" s="26"/>
      <c r="F8" s="26"/>
      <c r="G8" s="27"/>
    </row>
    <row r="9" spans="1:25" ht="13.9" x14ac:dyDescent="0.25">
      <c r="B9" s="28" t="s">
        <v>11</v>
      </c>
      <c r="C9" s="29"/>
      <c r="D9" s="29"/>
      <c r="E9" s="29"/>
      <c r="F9" s="29"/>
      <c r="G9" s="30"/>
    </row>
    <row r="10" spans="1:25" s="14" customFormat="1" ht="13.9" x14ac:dyDescent="0.3"/>
    <row r="11" spans="1:25" s="13" customFormat="1" ht="13.9" x14ac:dyDescent="0.3">
      <c r="B11" s="19" t="s">
        <v>90</v>
      </c>
      <c r="C11" s="19"/>
    </row>
    <row r="12" spans="1:25" s="13" customFormat="1" ht="14.45" x14ac:dyDescent="0.3">
      <c r="B12" s="20"/>
      <c r="C12" s="20"/>
      <c r="D12" s="21"/>
    </row>
    <row r="13" spans="1:25" ht="48.95" customHeight="1" x14ac:dyDescent="0.25">
      <c r="B13" s="2" t="s">
        <v>12</v>
      </c>
      <c r="C13" s="3" t="s">
        <v>0</v>
      </c>
      <c r="D13" s="3" t="s">
        <v>7</v>
      </c>
      <c r="E13" s="3" t="s">
        <v>17</v>
      </c>
      <c r="F13" s="3" t="s">
        <v>1</v>
      </c>
      <c r="G13" s="3" t="s">
        <v>16</v>
      </c>
      <c r="H13" s="3" t="s">
        <v>15</v>
      </c>
    </row>
    <row r="14" spans="1:25" ht="14.45" x14ac:dyDescent="0.3">
      <c r="B14" s="4">
        <v>1</v>
      </c>
      <c r="C14" s="84" t="s">
        <v>100</v>
      </c>
      <c r="D14" s="86" t="s">
        <v>119</v>
      </c>
      <c r="E14" s="86" t="s">
        <v>216</v>
      </c>
      <c r="F14" s="86" t="s">
        <v>216</v>
      </c>
      <c r="G14" s="86" t="s">
        <v>217</v>
      </c>
      <c r="H14" s="86" t="s">
        <v>212</v>
      </c>
    </row>
    <row r="15" spans="1:25" ht="14.45" x14ac:dyDescent="0.3">
      <c r="B15" s="4">
        <v>2</v>
      </c>
      <c r="C15" s="85" t="s">
        <v>101</v>
      </c>
      <c r="D15" s="87" t="s">
        <v>119</v>
      </c>
      <c r="E15" s="87" t="s">
        <v>216</v>
      </c>
      <c r="F15" s="87" t="s">
        <v>216</v>
      </c>
      <c r="G15" s="87" t="s">
        <v>218</v>
      </c>
      <c r="H15" s="87" t="s">
        <v>212</v>
      </c>
    </row>
    <row r="16" spans="1:25" ht="14.45" x14ac:dyDescent="0.3">
      <c r="B16" s="4">
        <v>3</v>
      </c>
      <c r="C16" s="85" t="s">
        <v>102</v>
      </c>
      <c r="D16" s="87" t="s">
        <v>120</v>
      </c>
      <c r="E16" s="87" t="s">
        <v>216</v>
      </c>
      <c r="F16" s="87" t="s">
        <v>216</v>
      </c>
      <c r="G16" s="87" t="s">
        <v>218</v>
      </c>
      <c r="H16" s="87" t="s">
        <v>212</v>
      </c>
    </row>
    <row r="17" spans="2:8" ht="14.45" x14ac:dyDescent="0.3">
      <c r="B17" s="4">
        <v>4</v>
      </c>
      <c r="C17" s="85" t="s">
        <v>103</v>
      </c>
      <c r="D17" s="87" t="s">
        <v>119</v>
      </c>
      <c r="E17" s="87" t="s">
        <v>216</v>
      </c>
      <c r="F17" s="87" t="s">
        <v>216</v>
      </c>
      <c r="G17" s="87" t="s">
        <v>218</v>
      </c>
      <c r="H17" s="87" t="s">
        <v>212</v>
      </c>
    </row>
    <row r="18" spans="2:8" ht="14.45" x14ac:dyDescent="0.3">
      <c r="B18" s="4">
        <v>5</v>
      </c>
      <c r="C18" s="85" t="s">
        <v>104</v>
      </c>
      <c r="D18" s="87" t="s">
        <v>121</v>
      </c>
      <c r="E18" s="87" t="s">
        <v>219</v>
      </c>
      <c r="F18" s="87" t="s">
        <v>219</v>
      </c>
      <c r="G18" s="87" t="s">
        <v>218</v>
      </c>
      <c r="H18" s="87" t="s">
        <v>212</v>
      </c>
    </row>
    <row r="19" spans="2:8" ht="14.45" x14ac:dyDescent="0.3">
      <c r="B19" s="4">
        <v>6</v>
      </c>
      <c r="C19" s="85" t="s">
        <v>105</v>
      </c>
      <c r="D19" s="87" t="s">
        <v>122</v>
      </c>
      <c r="E19" s="87" t="s">
        <v>220</v>
      </c>
      <c r="F19" s="87" t="s">
        <v>220</v>
      </c>
      <c r="G19" s="87" t="s">
        <v>218</v>
      </c>
      <c r="H19" s="87" t="s">
        <v>212</v>
      </c>
    </row>
    <row r="20" spans="2:8" s="5" customFormat="1" ht="14.45" x14ac:dyDescent="0.3">
      <c r="B20" s="4">
        <v>7</v>
      </c>
      <c r="C20" s="85" t="s">
        <v>106</v>
      </c>
      <c r="D20" s="87" t="s">
        <v>119</v>
      </c>
      <c r="E20" s="87" t="s">
        <v>216</v>
      </c>
      <c r="F20" s="87" t="s">
        <v>216</v>
      </c>
      <c r="G20" s="87" t="s">
        <v>218</v>
      </c>
      <c r="H20" s="87" t="s">
        <v>212</v>
      </c>
    </row>
    <row r="21" spans="2:8" s="5" customFormat="1" ht="14.45" x14ac:dyDescent="0.3">
      <c r="B21" s="4">
        <v>8</v>
      </c>
      <c r="C21" s="85" t="s">
        <v>107</v>
      </c>
      <c r="D21" s="87" t="s">
        <v>123</v>
      </c>
      <c r="E21" s="87" t="s">
        <v>221</v>
      </c>
      <c r="F21" s="87" t="s">
        <v>221</v>
      </c>
      <c r="G21" s="87" t="s">
        <v>218</v>
      </c>
      <c r="H21" s="87" t="s">
        <v>212</v>
      </c>
    </row>
    <row r="22" spans="2:8" s="5" customFormat="1" ht="14.45" x14ac:dyDescent="0.3">
      <c r="B22" s="4">
        <v>9</v>
      </c>
      <c r="C22" s="85" t="s">
        <v>108</v>
      </c>
      <c r="D22" s="87" t="s">
        <v>124</v>
      </c>
      <c r="E22" s="87" t="s">
        <v>220</v>
      </c>
      <c r="F22" s="87" t="s">
        <v>220</v>
      </c>
      <c r="G22" s="87" t="s">
        <v>218</v>
      </c>
      <c r="H22" s="87" t="s">
        <v>212</v>
      </c>
    </row>
    <row r="23" spans="2:8" s="5" customFormat="1" ht="14.45" x14ac:dyDescent="0.3">
      <c r="B23" s="4">
        <v>11</v>
      </c>
      <c r="C23" s="85" t="s">
        <v>109</v>
      </c>
      <c r="D23" s="87" t="s">
        <v>119</v>
      </c>
      <c r="E23" s="87" t="s">
        <v>216</v>
      </c>
      <c r="F23" s="87" t="s">
        <v>216</v>
      </c>
      <c r="G23" s="87" t="s">
        <v>218</v>
      </c>
      <c r="H23" s="87" t="s">
        <v>212</v>
      </c>
    </row>
    <row r="24" spans="2:8" s="5" customFormat="1" ht="14.45" x14ac:dyDescent="0.3">
      <c r="B24" s="4">
        <v>12</v>
      </c>
      <c r="C24" s="85" t="s">
        <v>110</v>
      </c>
      <c r="D24" s="87" t="s">
        <v>36</v>
      </c>
      <c r="E24" s="87" t="s">
        <v>221</v>
      </c>
      <c r="F24" s="87" t="s">
        <v>221</v>
      </c>
      <c r="G24" s="87" t="s">
        <v>218</v>
      </c>
      <c r="H24" s="87" t="s">
        <v>212</v>
      </c>
    </row>
    <row r="25" spans="2:8" s="5" customFormat="1" ht="14.45" x14ac:dyDescent="0.3">
      <c r="B25" s="4">
        <v>13</v>
      </c>
      <c r="C25" s="85" t="s">
        <v>111</v>
      </c>
      <c r="D25" s="87" t="s">
        <v>119</v>
      </c>
      <c r="E25" s="87" t="s">
        <v>216</v>
      </c>
      <c r="F25" s="87" t="s">
        <v>216</v>
      </c>
      <c r="G25" s="87" t="s">
        <v>218</v>
      </c>
      <c r="H25" s="87" t="s">
        <v>212</v>
      </c>
    </row>
    <row r="26" spans="2:8" s="5" customFormat="1" ht="14.45" x14ac:dyDescent="0.3">
      <c r="B26" s="4">
        <v>14</v>
      </c>
      <c r="C26" s="85" t="s">
        <v>112</v>
      </c>
      <c r="D26" s="87" t="s">
        <v>125</v>
      </c>
      <c r="E26" s="87" t="s">
        <v>222</v>
      </c>
      <c r="F26" s="87" t="s">
        <v>222</v>
      </c>
      <c r="G26" s="87" t="s">
        <v>218</v>
      </c>
      <c r="H26" s="87" t="s">
        <v>212</v>
      </c>
    </row>
    <row r="27" spans="2:8" s="5" customFormat="1" ht="14.45" x14ac:dyDescent="0.3">
      <c r="B27" s="4">
        <v>15</v>
      </c>
      <c r="C27" s="85" t="s">
        <v>113</v>
      </c>
      <c r="D27" s="87" t="s">
        <v>123</v>
      </c>
      <c r="E27" s="87" t="s">
        <v>221</v>
      </c>
      <c r="F27" s="87" t="s">
        <v>221</v>
      </c>
      <c r="G27" s="87" t="s">
        <v>218</v>
      </c>
      <c r="H27" s="87" t="s">
        <v>212</v>
      </c>
    </row>
    <row r="28" spans="2:8" s="5" customFormat="1" ht="14.45" x14ac:dyDescent="0.3">
      <c r="B28" s="4">
        <v>16</v>
      </c>
      <c r="C28" s="85" t="s">
        <v>114</v>
      </c>
      <c r="D28" s="87" t="s">
        <v>126</v>
      </c>
      <c r="E28" s="87" t="s">
        <v>220</v>
      </c>
      <c r="F28" s="87" t="s">
        <v>220</v>
      </c>
      <c r="G28" s="87" t="s">
        <v>217</v>
      </c>
      <c r="H28" s="87" t="s">
        <v>212</v>
      </c>
    </row>
    <row r="29" spans="2:8" s="5" customFormat="1" ht="14.45" x14ac:dyDescent="0.3">
      <c r="B29" s="4">
        <v>17</v>
      </c>
      <c r="C29" s="85" t="s">
        <v>115</v>
      </c>
      <c r="D29" s="87" t="s">
        <v>127</v>
      </c>
      <c r="E29" s="87" t="s">
        <v>219</v>
      </c>
      <c r="F29" s="87" t="s">
        <v>219</v>
      </c>
      <c r="G29" s="87" t="s">
        <v>218</v>
      </c>
      <c r="H29" s="87" t="s">
        <v>212</v>
      </c>
    </row>
    <row r="30" spans="2:8" s="5" customFormat="1" ht="14.45" x14ac:dyDescent="0.3">
      <c r="B30" s="4">
        <v>18</v>
      </c>
      <c r="C30" s="85" t="s">
        <v>116</v>
      </c>
      <c r="D30" s="87" t="s">
        <v>120</v>
      </c>
      <c r="E30" s="87" t="s">
        <v>216</v>
      </c>
      <c r="F30" s="87" t="s">
        <v>216</v>
      </c>
      <c r="G30" s="87" t="s">
        <v>218</v>
      </c>
      <c r="H30" s="87" t="s">
        <v>212</v>
      </c>
    </row>
    <row r="31" spans="2:8" s="5" customFormat="1" ht="14.45" x14ac:dyDescent="0.3">
      <c r="B31" s="4">
        <v>19</v>
      </c>
      <c r="C31" s="85" t="s">
        <v>117</v>
      </c>
      <c r="D31" s="87" t="s">
        <v>128</v>
      </c>
      <c r="E31" s="87" t="s">
        <v>223</v>
      </c>
      <c r="F31" s="87" t="s">
        <v>223</v>
      </c>
      <c r="G31" s="87" t="s">
        <v>217</v>
      </c>
      <c r="H31" s="87" t="s">
        <v>212</v>
      </c>
    </row>
    <row r="32" spans="2:8" s="5" customFormat="1" ht="14.45" x14ac:dyDescent="0.3">
      <c r="B32" s="4">
        <v>20</v>
      </c>
      <c r="C32" s="85" t="s">
        <v>118</v>
      </c>
      <c r="D32" s="87" t="s">
        <v>119</v>
      </c>
      <c r="E32" s="87" t="s">
        <v>216</v>
      </c>
      <c r="F32" s="87" t="s">
        <v>216</v>
      </c>
      <c r="G32" s="87" t="s">
        <v>218</v>
      </c>
      <c r="H32" s="87" t="s">
        <v>212</v>
      </c>
    </row>
    <row r="33" spans="2:8" s="5" customFormat="1" ht="14.45" x14ac:dyDescent="0.3">
      <c r="B33" s="4">
        <v>21</v>
      </c>
      <c r="C33" s="85" t="s">
        <v>129</v>
      </c>
      <c r="D33" s="87" t="s">
        <v>123</v>
      </c>
      <c r="E33" s="87" t="s">
        <v>221</v>
      </c>
      <c r="F33" s="87" t="s">
        <v>221</v>
      </c>
      <c r="G33" s="87" t="s">
        <v>218</v>
      </c>
      <c r="H33" s="87" t="s">
        <v>212</v>
      </c>
    </row>
    <row r="34" spans="2:8" s="5" customFormat="1" ht="14.45" x14ac:dyDescent="0.3">
      <c r="B34" s="4">
        <v>22</v>
      </c>
      <c r="C34" s="85" t="s">
        <v>130</v>
      </c>
      <c r="D34" s="87" t="s">
        <v>131</v>
      </c>
      <c r="E34" s="87" t="s">
        <v>224</v>
      </c>
      <c r="F34" s="87" t="s">
        <v>224</v>
      </c>
      <c r="G34" s="87" t="s">
        <v>218</v>
      </c>
      <c r="H34" s="87" t="s">
        <v>212</v>
      </c>
    </row>
    <row r="35" spans="2:8" s="5" customFormat="1" ht="14.45" x14ac:dyDescent="0.3">
      <c r="B35" s="4">
        <v>23</v>
      </c>
      <c r="C35" s="85" t="s">
        <v>132</v>
      </c>
      <c r="D35" s="87" t="s">
        <v>123</v>
      </c>
      <c r="E35" s="87" t="s">
        <v>221</v>
      </c>
      <c r="F35" s="87" t="s">
        <v>221</v>
      </c>
      <c r="G35" s="87" t="s">
        <v>218</v>
      </c>
      <c r="H35" s="87" t="s">
        <v>212</v>
      </c>
    </row>
    <row r="36" spans="2:8" s="5" customFormat="1" ht="14.45" x14ac:dyDescent="0.3">
      <c r="B36" s="4">
        <v>24</v>
      </c>
      <c r="C36" s="85" t="s">
        <v>133</v>
      </c>
      <c r="D36" s="87" t="s">
        <v>119</v>
      </c>
      <c r="E36" s="87" t="s">
        <v>216</v>
      </c>
      <c r="F36" s="87" t="s">
        <v>216</v>
      </c>
      <c r="G36" s="87" t="s">
        <v>218</v>
      </c>
      <c r="H36" s="87" t="s">
        <v>212</v>
      </c>
    </row>
    <row r="37" spans="2:8" s="5" customFormat="1" ht="14.45" x14ac:dyDescent="0.3">
      <c r="B37" s="4">
        <v>25</v>
      </c>
      <c r="C37" s="85" t="s">
        <v>134</v>
      </c>
      <c r="D37" s="87" t="s">
        <v>135</v>
      </c>
      <c r="E37" s="87" t="s">
        <v>219</v>
      </c>
      <c r="F37" s="87" t="s">
        <v>219</v>
      </c>
      <c r="G37" s="87" t="s">
        <v>218</v>
      </c>
      <c r="H37" s="87" t="s">
        <v>212</v>
      </c>
    </row>
    <row r="38" spans="2:8" s="5" customFormat="1" ht="14.45" x14ac:dyDescent="0.3">
      <c r="B38" s="4">
        <v>26</v>
      </c>
      <c r="C38" s="85" t="s">
        <v>136</v>
      </c>
      <c r="D38" s="87" t="s">
        <v>119</v>
      </c>
      <c r="E38" s="87" t="s">
        <v>216</v>
      </c>
      <c r="F38" s="87" t="s">
        <v>216</v>
      </c>
      <c r="G38" s="87" t="s">
        <v>218</v>
      </c>
      <c r="H38" s="87" t="s">
        <v>212</v>
      </c>
    </row>
    <row r="39" spans="2:8" s="5" customFormat="1" ht="14.45" x14ac:dyDescent="0.3">
      <c r="B39" s="4">
        <v>27</v>
      </c>
      <c r="C39" s="85" t="s">
        <v>137</v>
      </c>
      <c r="D39" s="87" t="s">
        <v>138</v>
      </c>
      <c r="E39" s="87" t="s">
        <v>224</v>
      </c>
      <c r="F39" s="87" t="s">
        <v>224</v>
      </c>
      <c r="G39" s="87" t="s">
        <v>218</v>
      </c>
      <c r="H39" s="87" t="s">
        <v>212</v>
      </c>
    </row>
    <row r="40" spans="2:8" s="5" customFormat="1" ht="14.45" x14ac:dyDescent="0.3">
      <c r="B40" s="4">
        <v>28</v>
      </c>
      <c r="C40" s="85" t="s">
        <v>139</v>
      </c>
      <c r="D40" s="87" t="s">
        <v>128</v>
      </c>
      <c r="E40" s="87" t="s">
        <v>223</v>
      </c>
      <c r="F40" s="87" t="s">
        <v>223</v>
      </c>
      <c r="G40" s="87" t="s">
        <v>218</v>
      </c>
      <c r="H40" s="87" t="s">
        <v>212</v>
      </c>
    </row>
    <row r="41" spans="2:8" s="5" customFormat="1" ht="14.45" x14ac:dyDescent="0.3">
      <c r="B41" s="4">
        <v>29</v>
      </c>
      <c r="C41" s="85" t="s">
        <v>140</v>
      </c>
      <c r="D41" s="87" t="s">
        <v>123</v>
      </c>
      <c r="E41" s="87" t="s">
        <v>221</v>
      </c>
      <c r="F41" s="87" t="s">
        <v>221</v>
      </c>
      <c r="G41" s="87" t="s">
        <v>218</v>
      </c>
      <c r="H41" s="87" t="s">
        <v>212</v>
      </c>
    </row>
    <row r="42" spans="2:8" s="5" customFormat="1" ht="14.45" x14ac:dyDescent="0.3">
      <c r="B42" s="4">
        <v>30</v>
      </c>
      <c r="C42" s="85" t="s">
        <v>141</v>
      </c>
      <c r="D42" s="87" t="s">
        <v>142</v>
      </c>
      <c r="E42" s="87" t="s">
        <v>219</v>
      </c>
      <c r="F42" s="87" t="s">
        <v>219</v>
      </c>
      <c r="G42" s="87" t="s">
        <v>218</v>
      </c>
      <c r="H42" s="87" t="s">
        <v>212</v>
      </c>
    </row>
    <row r="43" spans="2:8" s="5" customFormat="1" ht="14.45" x14ac:dyDescent="0.3">
      <c r="B43" s="4">
        <v>31</v>
      </c>
      <c r="C43" s="85" t="s">
        <v>143</v>
      </c>
      <c r="D43" s="87" t="s">
        <v>225</v>
      </c>
      <c r="E43" s="87" t="s">
        <v>216</v>
      </c>
      <c r="F43" s="87" t="s">
        <v>216</v>
      </c>
      <c r="G43" s="87" t="s">
        <v>218</v>
      </c>
      <c r="H43" s="87" t="s">
        <v>212</v>
      </c>
    </row>
    <row r="44" spans="2:8" s="5" customFormat="1" ht="14.45" x14ac:dyDescent="0.3">
      <c r="B44" s="4">
        <v>32</v>
      </c>
      <c r="C44" s="85" t="s">
        <v>144</v>
      </c>
      <c r="D44" s="87" t="s">
        <v>119</v>
      </c>
      <c r="E44" s="87" t="s">
        <v>216</v>
      </c>
      <c r="F44" s="87" t="s">
        <v>216</v>
      </c>
      <c r="G44" s="87" t="s">
        <v>218</v>
      </c>
      <c r="H44" s="87" t="s">
        <v>212</v>
      </c>
    </row>
    <row r="45" spans="2:8" s="5" customFormat="1" ht="14.45" x14ac:dyDescent="0.3">
      <c r="B45" s="4">
        <v>33</v>
      </c>
      <c r="C45" s="85" t="s">
        <v>145</v>
      </c>
      <c r="D45" s="87" t="s">
        <v>146</v>
      </c>
      <c r="E45" s="87" t="s">
        <v>226</v>
      </c>
      <c r="F45" s="87" t="s">
        <v>226</v>
      </c>
      <c r="G45" s="87" t="s">
        <v>218</v>
      </c>
      <c r="H45" s="87" t="s">
        <v>212</v>
      </c>
    </row>
    <row r="46" spans="2:8" s="5" customFormat="1" ht="14.45" x14ac:dyDescent="0.3">
      <c r="B46" s="4">
        <v>34</v>
      </c>
      <c r="C46" s="85" t="s">
        <v>147</v>
      </c>
      <c r="D46" s="87" t="s">
        <v>148</v>
      </c>
      <c r="E46" s="87" t="s">
        <v>219</v>
      </c>
      <c r="F46" s="87" t="s">
        <v>219</v>
      </c>
      <c r="G46" s="87" t="s">
        <v>217</v>
      </c>
      <c r="H46" s="87" t="s">
        <v>212</v>
      </c>
    </row>
    <row r="47" spans="2:8" s="5" customFormat="1" ht="14.45" x14ac:dyDescent="0.3">
      <c r="B47" s="4">
        <v>35</v>
      </c>
      <c r="C47" s="85" t="s">
        <v>149</v>
      </c>
      <c r="D47" s="87" t="s">
        <v>120</v>
      </c>
      <c r="E47" s="87" t="s">
        <v>216</v>
      </c>
      <c r="F47" s="87" t="s">
        <v>216</v>
      </c>
      <c r="G47" s="87" t="s">
        <v>218</v>
      </c>
      <c r="H47" s="87" t="s">
        <v>212</v>
      </c>
    </row>
    <row r="48" spans="2:8" s="5" customFormat="1" ht="14.45" x14ac:dyDescent="0.3">
      <c r="B48" s="4">
        <v>36</v>
      </c>
      <c r="C48" s="85" t="s">
        <v>150</v>
      </c>
      <c r="D48" s="87" t="s">
        <v>151</v>
      </c>
      <c r="E48" s="87" t="s">
        <v>221</v>
      </c>
      <c r="F48" s="87" t="s">
        <v>221</v>
      </c>
      <c r="G48" s="87" t="s">
        <v>218</v>
      </c>
      <c r="H48" s="87" t="s">
        <v>212</v>
      </c>
    </row>
    <row r="49" spans="2:8" s="5" customFormat="1" ht="14.45" x14ac:dyDescent="0.3">
      <c r="B49" s="4">
        <v>37</v>
      </c>
      <c r="C49" s="85" t="s">
        <v>152</v>
      </c>
      <c r="D49" s="87" t="s">
        <v>153</v>
      </c>
      <c r="E49" s="87" t="s">
        <v>219</v>
      </c>
      <c r="F49" s="87" t="s">
        <v>219</v>
      </c>
      <c r="G49" s="87" t="s">
        <v>218</v>
      </c>
      <c r="H49" s="87" t="s">
        <v>212</v>
      </c>
    </row>
    <row r="50" spans="2:8" s="5" customFormat="1" ht="14.45" x14ac:dyDescent="0.3">
      <c r="B50" s="4">
        <v>38</v>
      </c>
      <c r="C50" s="85" t="s">
        <v>154</v>
      </c>
      <c r="D50" s="87" t="s">
        <v>119</v>
      </c>
      <c r="E50" s="87" t="s">
        <v>216</v>
      </c>
      <c r="F50" s="87" t="s">
        <v>216</v>
      </c>
      <c r="G50" s="87" t="s">
        <v>218</v>
      </c>
      <c r="H50" s="87" t="s">
        <v>212</v>
      </c>
    </row>
    <row r="51" spans="2:8" s="5" customFormat="1" ht="14.45" x14ac:dyDescent="0.3">
      <c r="B51" s="4">
        <v>39</v>
      </c>
      <c r="C51" s="85" t="s">
        <v>155</v>
      </c>
      <c r="D51" s="87" t="s">
        <v>156</v>
      </c>
      <c r="E51" s="87" t="s">
        <v>221</v>
      </c>
      <c r="F51" s="87" t="s">
        <v>221</v>
      </c>
      <c r="G51" s="87" t="s">
        <v>218</v>
      </c>
      <c r="H51" s="87" t="s">
        <v>212</v>
      </c>
    </row>
    <row r="52" spans="2:8" s="5" customFormat="1" ht="14.45" x14ac:dyDescent="0.3">
      <c r="B52" s="4">
        <v>40</v>
      </c>
      <c r="C52" s="85" t="s">
        <v>157</v>
      </c>
      <c r="D52" s="87" t="s">
        <v>158</v>
      </c>
      <c r="E52" s="87" t="s">
        <v>227</v>
      </c>
      <c r="F52" s="87" t="s">
        <v>227</v>
      </c>
      <c r="G52" s="87" t="s">
        <v>218</v>
      </c>
      <c r="H52" s="87" t="s">
        <v>212</v>
      </c>
    </row>
    <row r="53" spans="2:8" s="5" customFormat="1" ht="14.45" x14ac:dyDescent="0.3">
      <c r="B53" s="4">
        <v>41</v>
      </c>
      <c r="C53" s="85" t="s">
        <v>159</v>
      </c>
      <c r="D53" s="87" t="s">
        <v>160</v>
      </c>
      <c r="E53" s="87" t="s">
        <v>220</v>
      </c>
      <c r="F53" s="87" t="s">
        <v>220</v>
      </c>
      <c r="G53" s="87" t="s">
        <v>218</v>
      </c>
      <c r="H53" s="87" t="s">
        <v>212</v>
      </c>
    </row>
    <row r="54" spans="2:8" s="5" customFormat="1" ht="14.45" x14ac:dyDescent="0.3">
      <c r="B54" s="4">
        <v>42</v>
      </c>
      <c r="C54" s="85" t="s">
        <v>161</v>
      </c>
      <c r="D54" s="87" t="s">
        <v>162</v>
      </c>
      <c r="E54" s="87" t="s">
        <v>216</v>
      </c>
      <c r="F54" s="87" t="s">
        <v>216</v>
      </c>
      <c r="G54" s="87" t="s">
        <v>228</v>
      </c>
      <c r="H54" s="87" t="s">
        <v>213</v>
      </c>
    </row>
    <row r="55" spans="2:8" s="5" customFormat="1" ht="14.45" x14ac:dyDescent="0.3">
      <c r="B55" s="4">
        <v>43</v>
      </c>
      <c r="C55" s="85" t="s">
        <v>163</v>
      </c>
      <c r="D55" s="87" t="s">
        <v>164</v>
      </c>
      <c r="E55" s="87" t="s">
        <v>219</v>
      </c>
      <c r="F55" s="87" t="s">
        <v>219</v>
      </c>
      <c r="G55" s="87" t="s">
        <v>218</v>
      </c>
      <c r="H55" s="87" t="s">
        <v>212</v>
      </c>
    </row>
    <row r="56" spans="2:8" s="5" customFormat="1" ht="14.45" x14ac:dyDescent="0.3">
      <c r="B56" s="4">
        <v>44</v>
      </c>
      <c r="C56" s="85" t="s">
        <v>165</v>
      </c>
      <c r="D56" s="87" t="s">
        <v>120</v>
      </c>
      <c r="E56" s="87" t="s">
        <v>216</v>
      </c>
      <c r="F56" s="87" t="s">
        <v>216</v>
      </c>
      <c r="G56" s="87" t="s">
        <v>218</v>
      </c>
      <c r="H56" s="87" t="s">
        <v>212</v>
      </c>
    </row>
    <row r="57" spans="2:8" s="5" customFormat="1" ht="14.45" x14ac:dyDescent="0.3">
      <c r="B57" s="4">
        <v>45</v>
      </c>
      <c r="C57" s="85" t="s">
        <v>166</v>
      </c>
      <c r="D57" s="87" t="s">
        <v>167</v>
      </c>
      <c r="E57" s="87" t="s">
        <v>226</v>
      </c>
      <c r="F57" s="87" t="s">
        <v>226</v>
      </c>
      <c r="G57" s="87" t="s">
        <v>218</v>
      </c>
      <c r="H57" s="87" t="s">
        <v>212</v>
      </c>
    </row>
    <row r="58" spans="2:8" s="5" customFormat="1" ht="14.45" x14ac:dyDescent="0.3">
      <c r="B58" s="4">
        <v>46</v>
      </c>
      <c r="C58" s="85" t="s">
        <v>168</v>
      </c>
      <c r="D58" s="87" t="s">
        <v>169</v>
      </c>
      <c r="E58" s="87" t="s">
        <v>219</v>
      </c>
      <c r="F58" s="87" t="s">
        <v>219</v>
      </c>
      <c r="G58" s="87" t="s">
        <v>217</v>
      </c>
      <c r="H58" s="87" t="s">
        <v>212</v>
      </c>
    </row>
    <row r="59" spans="2:8" s="5" customFormat="1" ht="14.45" x14ac:dyDescent="0.3">
      <c r="B59" s="4">
        <v>47</v>
      </c>
      <c r="C59" s="85" t="s">
        <v>170</v>
      </c>
      <c r="D59" s="87" t="s">
        <v>171</v>
      </c>
      <c r="E59" s="87" t="s">
        <v>226</v>
      </c>
      <c r="F59" s="87" t="s">
        <v>226</v>
      </c>
      <c r="G59" s="87" t="s">
        <v>218</v>
      </c>
      <c r="H59" s="87" t="s">
        <v>212</v>
      </c>
    </row>
    <row r="60" spans="2:8" s="5" customFormat="1" ht="14.45" x14ac:dyDescent="0.3">
      <c r="B60" s="4">
        <v>48</v>
      </c>
      <c r="C60" s="85" t="s">
        <v>172</v>
      </c>
      <c r="D60" s="87" t="s">
        <v>173</v>
      </c>
      <c r="E60" s="87" t="s">
        <v>221</v>
      </c>
      <c r="F60" s="87" t="s">
        <v>221</v>
      </c>
      <c r="G60" s="87" t="s">
        <v>218</v>
      </c>
      <c r="H60" s="87" t="s">
        <v>212</v>
      </c>
    </row>
    <row r="61" spans="2:8" s="5" customFormat="1" ht="14.45" x14ac:dyDescent="0.3">
      <c r="B61" s="4">
        <v>49</v>
      </c>
      <c r="C61" s="85" t="s">
        <v>174</v>
      </c>
      <c r="D61" s="87" t="s">
        <v>131</v>
      </c>
      <c r="E61" s="87" t="s">
        <v>224</v>
      </c>
      <c r="F61" s="87" t="s">
        <v>224</v>
      </c>
      <c r="G61" s="87" t="s">
        <v>218</v>
      </c>
      <c r="H61" s="87" t="s">
        <v>212</v>
      </c>
    </row>
    <row r="62" spans="2:8" s="5" customFormat="1" ht="14.45" x14ac:dyDescent="0.3">
      <c r="B62" s="4">
        <v>50</v>
      </c>
      <c r="C62" s="85" t="s">
        <v>175</v>
      </c>
      <c r="D62" s="87" t="s">
        <v>119</v>
      </c>
      <c r="E62" s="87" t="s">
        <v>216</v>
      </c>
      <c r="F62" s="87" t="s">
        <v>216</v>
      </c>
      <c r="G62" s="87" t="s">
        <v>218</v>
      </c>
      <c r="H62" s="87" t="s">
        <v>212</v>
      </c>
    </row>
    <row r="63" spans="2:8" s="5" customFormat="1" x14ac:dyDescent="0.3">
      <c r="B63" s="4">
        <v>51</v>
      </c>
      <c r="C63" s="85" t="s">
        <v>176</v>
      </c>
      <c r="D63" s="87" t="s">
        <v>177</v>
      </c>
      <c r="E63" s="87" t="s">
        <v>222</v>
      </c>
      <c r="F63" s="87" t="s">
        <v>222</v>
      </c>
      <c r="G63" s="87" t="s">
        <v>218</v>
      </c>
      <c r="H63" s="87" t="s">
        <v>212</v>
      </c>
    </row>
    <row r="64" spans="2:8" s="5" customFormat="1" x14ac:dyDescent="0.3">
      <c r="B64" s="4">
        <v>52</v>
      </c>
      <c r="C64" s="85" t="s">
        <v>178</v>
      </c>
      <c r="D64" s="87" t="s">
        <v>119</v>
      </c>
      <c r="E64" s="87" t="s">
        <v>216</v>
      </c>
      <c r="F64" s="87" t="s">
        <v>216</v>
      </c>
      <c r="G64" s="87" t="s">
        <v>218</v>
      </c>
      <c r="H64" s="87" t="s">
        <v>212</v>
      </c>
    </row>
    <row r="65" spans="2:8" s="5" customFormat="1" x14ac:dyDescent="0.3">
      <c r="B65" s="4">
        <v>53</v>
      </c>
      <c r="C65" s="85" t="s">
        <v>179</v>
      </c>
      <c r="D65" s="87" t="s">
        <v>119</v>
      </c>
      <c r="E65" s="87" t="s">
        <v>216</v>
      </c>
      <c r="F65" s="87" t="s">
        <v>216</v>
      </c>
      <c r="G65" s="87" t="s">
        <v>218</v>
      </c>
      <c r="H65" s="87" t="s">
        <v>212</v>
      </c>
    </row>
    <row r="66" spans="2:8" s="5" customFormat="1" x14ac:dyDescent="0.3">
      <c r="B66" s="4">
        <v>54</v>
      </c>
      <c r="C66" s="85" t="s">
        <v>180</v>
      </c>
      <c r="D66" s="87" t="s">
        <v>119</v>
      </c>
      <c r="E66" s="87" t="s">
        <v>216</v>
      </c>
      <c r="F66" s="87" t="s">
        <v>216</v>
      </c>
      <c r="G66" s="87" t="s">
        <v>218</v>
      </c>
      <c r="H66" s="87" t="s">
        <v>214</v>
      </c>
    </row>
    <row r="67" spans="2:8" s="5" customFormat="1" x14ac:dyDescent="0.3">
      <c r="B67" s="4">
        <v>55</v>
      </c>
      <c r="C67" s="85" t="s">
        <v>181</v>
      </c>
      <c r="D67" s="87" t="s">
        <v>119</v>
      </c>
      <c r="E67" s="87" t="s">
        <v>216</v>
      </c>
      <c r="F67" s="87" t="s">
        <v>216</v>
      </c>
      <c r="G67" s="87" t="s">
        <v>218</v>
      </c>
      <c r="H67" s="87" t="s">
        <v>214</v>
      </c>
    </row>
    <row r="68" spans="2:8" s="5" customFormat="1" x14ac:dyDescent="0.3">
      <c r="B68" s="4">
        <v>56</v>
      </c>
      <c r="C68" s="85" t="s">
        <v>182</v>
      </c>
      <c r="D68" s="87" t="s">
        <v>119</v>
      </c>
      <c r="E68" s="87" t="s">
        <v>216</v>
      </c>
      <c r="F68" s="87" t="s">
        <v>216</v>
      </c>
      <c r="G68" s="87" t="s">
        <v>218</v>
      </c>
      <c r="H68" s="87" t="s">
        <v>214</v>
      </c>
    </row>
    <row r="69" spans="2:8" s="5" customFormat="1" x14ac:dyDescent="0.3">
      <c r="B69" s="4">
        <v>57</v>
      </c>
      <c r="C69" s="85" t="s">
        <v>183</v>
      </c>
      <c r="D69" s="87" t="s">
        <v>119</v>
      </c>
      <c r="E69" s="87" t="s">
        <v>216</v>
      </c>
      <c r="F69" s="87" t="s">
        <v>216</v>
      </c>
      <c r="G69" s="87" t="s">
        <v>218</v>
      </c>
      <c r="H69" s="87" t="s">
        <v>214</v>
      </c>
    </row>
    <row r="70" spans="2:8" s="5" customFormat="1" x14ac:dyDescent="0.3">
      <c r="B70" s="4">
        <v>58</v>
      </c>
      <c r="C70" s="85" t="s">
        <v>184</v>
      </c>
      <c r="D70" s="87" t="s">
        <v>185</v>
      </c>
      <c r="E70" s="87" t="s">
        <v>220</v>
      </c>
      <c r="F70" s="87" t="s">
        <v>220</v>
      </c>
      <c r="G70" s="87" t="s">
        <v>218</v>
      </c>
      <c r="H70" s="87" t="s">
        <v>214</v>
      </c>
    </row>
    <row r="71" spans="2:8" s="5" customFormat="1" x14ac:dyDescent="0.3">
      <c r="B71" s="4">
        <v>59</v>
      </c>
      <c r="C71" s="85" t="s">
        <v>186</v>
      </c>
      <c r="D71" s="87" t="s">
        <v>119</v>
      </c>
      <c r="E71" s="87" t="s">
        <v>216</v>
      </c>
      <c r="F71" s="87" t="s">
        <v>216</v>
      </c>
      <c r="G71" s="87" t="s">
        <v>218</v>
      </c>
      <c r="H71" s="87" t="s">
        <v>214</v>
      </c>
    </row>
    <row r="72" spans="2:8" s="5" customFormat="1" x14ac:dyDescent="0.3">
      <c r="B72" s="4">
        <v>60</v>
      </c>
      <c r="C72" s="85" t="s">
        <v>187</v>
      </c>
      <c r="D72" s="87" t="s">
        <v>188</v>
      </c>
      <c r="E72" s="87" t="s">
        <v>216</v>
      </c>
      <c r="F72" s="87" t="s">
        <v>216</v>
      </c>
      <c r="G72" s="87" t="s">
        <v>218</v>
      </c>
      <c r="H72" s="87" t="s">
        <v>214</v>
      </c>
    </row>
    <row r="73" spans="2:8" s="5" customFormat="1" x14ac:dyDescent="0.3">
      <c r="B73" s="4">
        <v>61</v>
      </c>
      <c r="C73" s="85" t="s">
        <v>189</v>
      </c>
      <c r="D73" s="87" t="s">
        <v>119</v>
      </c>
      <c r="E73" s="87" t="s">
        <v>216</v>
      </c>
      <c r="F73" s="87" t="s">
        <v>216</v>
      </c>
      <c r="G73" s="87" t="s">
        <v>218</v>
      </c>
      <c r="H73" s="87" t="s">
        <v>214</v>
      </c>
    </row>
    <row r="74" spans="2:8" s="5" customFormat="1" x14ac:dyDescent="0.3">
      <c r="B74" s="4">
        <v>62</v>
      </c>
      <c r="C74" s="85" t="s">
        <v>190</v>
      </c>
      <c r="D74" s="87" t="s">
        <v>128</v>
      </c>
      <c r="E74" s="87" t="s">
        <v>223</v>
      </c>
      <c r="F74" s="87" t="s">
        <v>223</v>
      </c>
      <c r="G74" s="87" t="s">
        <v>218</v>
      </c>
      <c r="H74" s="87" t="s">
        <v>214</v>
      </c>
    </row>
    <row r="75" spans="2:8" s="5" customFormat="1" x14ac:dyDescent="0.3">
      <c r="B75" s="4">
        <v>63</v>
      </c>
      <c r="C75" s="85" t="s">
        <v>191</v>
      </c>
      <c r="D75" s="87" t="s">
        <v>192</v>
      </c>
      <c r="E75" s="87" t="s">
        <v>216</v>
      </c>
      <c r="F75" s="87" t="s">
        <v>216</v>
      </c>
      <c r="G75" s="87" t="s">
        <v>229</v>
      </c>
      <c r="H75" s="87" t="s">
        <v>213</v>
      </c>
    </row>
    <row r="76" spans="2:8" s="5" customFormat="1" x14ac:dyDescent="0.3">
      <c r="B76" s="4">
        <v>64</v>
      </c>
      <c r="C76" s="85" t="s">
        <v>193</v>
      </c>
      <c r="D76" s="87" t="s">
        <v>192</v>
      </c>
      <c r="E76" s="87" t="s">
        <v>216</v>
      </c>
      <c r="F76" s="87" t="s">
        <v>216</v>
      </c>
      <c r="G76" s="87" t="s">
        <v>229</v>
      </c>
      <c r="H76" s="87" t="s">
        <v>213</v>
      </c>
    </row>
    <row r="77" spans="2:8" s="5" customFormat="1" x14ac:dyDescent="0.3">
      <c r="B77" s="4">
        <v>65</v>
      </c>
      <c r="C77" s="85" t="s">
        <v>194</v>
      </c>
      <c r="D77" s="87" t="s">
        <v>192</v>
      </c>
      <c r="E77" s="87" t="s">
        <v>216</v>
      </c>
      <c r="F77" s="87" t="s">
        <v>216</v>
      </c>
      <c r="G77" s="87" t="s">
        <v>229</v>
      </c>
      <c r="H77" s="87" t="s">
        <v>213</v>
      </c>
    </row>
    <row r="78" spans="2:8" s="5" customFormat="1" x14ac:dyDescent="0.3">
      <c r="B78" s="4">
        <v>66</v>
      </c>
      <c r="C78" s="85" t="s">
        <v>195</v>
      </c>
      <c r="D78" s="87" t="s">
        <v>196</v>
      </c>
      <c r="E78" s="87" t="s">
        <v>221</v>
      </c>
      <c r="F78" s="87" t="s">
        <v>221</v>
      </c>
      <c r="G78" s="87" t="s">
        <v>229</v>
      </c>
      <c r="H78" s="87" t="s">
        <v>213</v>
      </c>
    </row>
    <row r="79" spans="2:8" s="5" customFormat="1" x14ac:dyDescent="0.3">
      <c r="B79" s="4">
        <v>67</v>
      </c>
      <c r="C79" s="85" t="s">
        <v>197</v>
      </c>
      <c r="D79" s="87" t="s">
        <v>196</v>
      </c>
      <c r="E79" s="87" t="s">
        <v>221</v>
      </c>
      <c r="F79" s="87" t="s">
        <v>221</v>
      </c>
      <c r="G79" s="87" t="s">
        <v>229</v>
      </c>
      <c r="H79" s="87" t="s">
        <v>213</v>
      </c>
    </row>
    <row r="80" spans="2:8" s="5" customFormat="1" x14ac:dyDescent="0.3">
      <c r="B80" s="4">
        <v>68</v>
      </c>
      <c r="C80" s="85" t="s">
        <v>198</v>
      </c>
      <c r="D80" s="87" t="s">
        <v>196</v>
      </c>
      <c r="E80" s="87" t="s">
        <v>221</v>
      </c>
      <c r="F80" s="87" t="s">
        <v>221</v>
      </c>
      <c r="G80" s="87" t="s">
        <v>229</v>
      </c>
      <c r="H80" s="87" t="s">
        <v>213</v>
      </c>
    </row>
    <row r="81" spans="2:8" s="5" customFormat="1" x14ac:dyDescent="0.3">
      <c r="B81" s="4">
        <v>69</v>
      </c>
      <c r="C81" s="85" t="s">
        <v>199</v>
      </c>
      <c r="D81" s="87" t="s">
        <v>196</v>
      </c>
      <c r="E81" s="87" t="s">
        <v>221</v>
      </c>
      <c r="F81" s="87" t="s">
        <v>221</v>
      </c>
      <c r="G81" s="87" t="s">
        <v>229</v>
      </c>
      <c r="H81" s="87" t="s">
        <v>213</v>
      </c>
    </row>
    <row r="82" spans="2:8" s="5" customFormat="1" x14ac:dyDescent="0.3">
      <c r="B82" s="4">
        <v>70</v>
      </c>
      <c r="C82" s="85" t="s">
        <v>200</v>
      </c>
      <c r="D82" s="87" t="s">
        <v>201</v>
      </c>
      <c r="E82" s="87" t="s">
        <v>221</v>
      </c>
      <c r="F82" s="87" t="s">
        <v>221</v>
      </c>
      <c r="G82" s="87" t="s">
        <v>229</v>
      </c>
      <c r="H82" s="87" t="s">
        <v>213</v>
      </c>
    </row>
    <row r="83" spans="2:8" s="5" customFormat="1" x14ac:dyDescent="0.3">
      <c r="B83" s="4">
        <v>71</v>
      </c>
      <c r="C83" s="88" t="s">
        <v>202</v>
      </c>
      <c r="D83" s="89" t="s">
        <v>203</v>
      </c>
      <c r="E83" s="89" t="s">
        <v>219</v>
      </c>
      <c r="F83" s="89" t="s">
        <v>219</v>
      </c>
      <c r="G83" s="89" t="s">
        <v>218</v>
      </c>
      <c r="H83" s="89" t="s">
        <v>212</v>
      </c>
    </row>
    <row r="84" spans="2:8" s="5" customFormat="1" x14ac:dyDescent="0.3">
      <c r="B84" s="4">
        <v>72</v>
      </c>
      <c r="C84" s="88" t="s">
        <v>204</v>
      </c>
      <c r="D84" s="89" t="s">
        <v>205</v>
      </c>
      <c r="E84" s="89" t="s">
        <v>221</v>
      </c>
      <c r="F84" s="89" t="s">
        <v>221</v>
      </c>
      <c r="G84" s="89" t="s">
        <v>230</v>
      </c>
      <c r="H84" s="89" t="s">
        <v>212</v>
      </c>
    </row>
    <row r="85" spans="2:8" s="5" customFormat="1" x14ac:dyDescent="0.3">
      <c r="B85" s="4">
        <v>73</v>
      </c>
      <c r="C85" s="88" t="s">
        <v>206</v>
      </c>
      <c r="D85" s="89" t="s">
        <v>207</v>
      </c>
      <c r="E85" s="89" t="s">
        <v>221</v>
      </c>
      <c r="F85" s="89" t="s">
        <v>221</v>
      </c>
      <c r="G85" s="89" t="s">
        <v>230</v>
      </c>
      <c r="H85" s="89" t="s">
        <v>213</v>
      </c>
    </row>
    <row r="86" spans="2:8" s="5" customFormat="1" x14ac:dyDescent="0.3">
      <c r="B86" s="4">
        <v>74</v>
      </c>
      <c r="C86" s="88" t="s">
        <v>208</v>
      </c>
      <c r="D86" s="89" t="s">
        <v>209</v>
      </c>
      <c r="E86" s="89" t="s">
        <v>216</v>
      </c>
      <c r="F86" s="89" t="s">
        <v>216</v>
      </c>
      <c r="G86" s="89" t="s">
        <v>230</v>
      </c>
      <c r="H86" s="89" t="s">
        <v>213</v>
      </c>
    </row>
    <row r="87" spans="2:8" s="5" customFormat="1" x14ac:dyDescent="0.3">
      <c r="B87" s="4">
        <v>75</v>
      </c>
      <c r="C87" s="88" t="s">
        <v>210</v>
      </c>
      <c r="D87" s="89" t="s">
        <v>211</v>
      </c>
      <c r="E87" s="87" t="s">
        <v>219</v>
      </c>
      <c r="F87" s="87" t="s">
        <v>219</v>
      </c>
      <c r="G87" s="89" t="s">
        <v>230</v>
      </c>
      <c r="H87" s="89" t="s">
        <v>213</v>
      </c>
    </row>
    <row r="88" spans="2:8" s="5" customFormat="1" x14ac:dyDescent="0.3">
      <c r="B88" s="4">
        <v>76</v>
      </c>
      <c r="C88" s="31"/>
      <c r="D88" s="31"/>
      <c r="E88" s="31"/>
      <c r="F88" s="31"/>
      <c r="G88" s="31"/>
      <c r="H88" s="31"/>
    </row>
    <row r="89" spans="2:8" s="5" customFormat="1" x14ac:dyDescent="0.3">
      <c r="B89" s="4">
        <v>77</v>
      </c>
      <c r="C89" s="31"/>
      <c r="D89" s="31"/>
      <c r="E89" s="31"/>
      <c r="F89" s="31"/>
      <c r="G89" s="31"/>
      <c r="H89" s="31"/>
    </row>
    <row r="90" spans="2:8" s="5" customFormat="1" x14ac:dyDescent="0.3">
      <c r="B90" s="4">
        <v>78</v>
      </c>
      <c r="C90" s="31"/>
      <c r="D90" s="31"/>
      <c r="E90" s="31"/>
      <c r="F90" s="31"/>
      <c r="G90" s="31"/>
      <c r="H90" s="31"/>
    </row>
    <row r="91" spans="2:8" s="5" customFormat="1" x14ac:dyDescent="0.3">
      <c r="B91" s="4">
        <v>79</v>
      </c>
      <c r="C91" s="31"/>
      <c r="D91" s="31"/>
      <c r="E91" s="31"/>
      <c r="F91" s="31"/>
      <c r="G91" s="31"/>
      <c r="H91" s="31"/>
    </row>
    <row r="92" spans="2:8" s="5" customFormat="1" x14ac:dyDescent="0.3">
      <c r="B92" s="4">
        <v>80</v>
      </c>
      <c r="C92" s="31"/>
      <c r="D92" s="31"/>
      <c r="E92" s="31"/>
      <c r="F92" s="31"/>
      <c r="G92" s="31"/>
      <c r="H92" s="31"/>
    </row>
    <row r="93" spans="2:8" s="5" customFormat="1" x14ac:dyDescent="0.3">
      <c r="B93" s="4">
        <v>10</v>
      </c>
      <c r="C93" s="31"/>
      <c r="D93" s="31"/>
      <c r="E93" s="31"/>
      <c r="F93" s="31"/>
      <c r="G93" s="31"/>
      <c r="H93" s="31"/>
    </row>
  </sheetData>
  <sheetProtection password="C2E9" sheet="1" objects="1" scenarios="1" formatColumns="0" formatRows="0" sort="0" autoFilter="0"/>
  <dataValidations count="1">
    <dataValidation type="list" allowBlank="1" showInputMessage="1" showErrorMessage="1" sqref="H14:H93">
      <formula1>"FT, PT"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114300</xdr:colOff>
                    <xdr:row>10</xdr:row>
                    <xdr:rowOff>0</xdr:rowOff>
                  </from>
                  <to>
                    <xdr:col>3</xdr:col>
                    <xdr:colOff>1428750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1457325</xdr:colOff>
                    <xdr:row>10</xdr:row>
                    <xdr:rowOff>0</xdr:rowOff>
                  </from>
                  <to>
                    <xdr:col>5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57150</xdr:colOff>
                    <xdr:row>13</xdr:row>
                    <xdr:rowOff>19050</xdr:rowOff>
                  </from>
                  <to>
                    <xdr:col>1</xdr:col>
                    <xdr:colOff>933450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990600</xdr:colOff>
                    <xdr:row>13</xdr:row>
                    <xdr:rowOff>19050</xdr:rowOff>
                  </from>
                  <to>
                    <xdr:col>2</xdr:col>
                    <xdr:colOff>0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SelectDept!$B$2:$B$67</xm:f>
          </x14:formula1>
          <xm:sqref>F14:F93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tabColor rgb="FF0070C0"/>
  </sheetPr>
  <dimension ref="A2:DT138"/>
  <sheetViews>
    <sheetView zoomScale="60" zoomScaleNormal="60" workbookViewId="0">
      <selection activeCell="CU113" sqref="CU113"/>
    </sheetView>
  </sheetViews>
  <sheetFormatPr defaultColWidth="8.7109375" defaultRowHeight="16.5" x14ac:dyDescent="0.3"/>
  <cols>
    <col min="1" max="1" width="8.7109375" style="5"/>
    <col min="2" max="2" width="8.7109375" style="1" customWidth="1"/>
    <col min="3" max="3" width="21.7109375" style="1" customWidth="1"/>
    <col min="4" max="4" width="23.28515625" style="1" customWidth="1"/>
    <col min="5" max="5" width="24.42578125" style="1" customWidth="1"/>
    <col min="6" max="6" width="1.42578125" style="5" customWidth="1"/>
    <col min="7" max="60" width="8.7109375" style="5" hidden="1" customWidth="1"/>
    <col min="61" max="61" width="1.42578125" style="5" customWidth="1"/>
    <col min="62" max="62" width="10.42578125" style="5" customWidth="1"/>
    <col min="63" max="63" width="8.7109375" style="5" hidden="1" customWidth="1"/>
    <col min="64" max="65" width="8.7109375" style="5" customWidth="1"/>
    <col min="66" max="66" width="8.7109375" style="5" hidden="1" customWidth="1"/>
    <col min="67" max="67" width="11.140625" style="5" customWidth="1"/>
    <col min="68" max="68" width="8.7109375" style="5" hidden="1" customWidth="1"/>
    <col min="69" max="70" width="8.7109375" style="5" customWidth="1"/>
    <col min="71" max="71" width="9.85546875" style="5" customWidth="1"/>
    <col min="72" max="72" width="8.7109375" style="5" customWidth="1"/>
    <col min="73" max="73" width="8.7109375" style="5" hidden="1" customWidth="1"/>
    <col min="74" max="76" width="8.7109375" style="5" customWidth="1"/>
    <col min="77" max="77" width="11.140625" style="5" hidden="1" customWidth="1"/>
    <col min="78" max="78" width="15" style="5" hidden="1" customWidth="1"/>
    <col min="79" max="79" width="6" style="5" hidden="1" customWidth="1"/>
    <col min="80" max="80" width="8.7109375" style="5" customWidth="1"/>
    <col min="81" max="81" width="10.140625" style="5" customWidth="1"/>
    <col min="82" max="82" width="8.7109375" style="5" hidden="1" customWidth="1"/>
    <col min="83" max="83" width="8.7109375" style="5" customWidth="1"/>
    <col min="84" max="84" width="8.7109375" style="5" hidden="1" customWidth="1"/>
    <col min="85" max="86" width="8.7109375" style="5" customWidth="1"/>
    <col min="87" max="87" width="8.7109375" style="5" hidden="1" customWidth="1"/>
    <col min="88" max="90" width="8.7109375" style="5" customWidth="1"/>
    <col min="91" max="98" width="8.7109375" style="5" hidden="1" customWidth="1"/>
    <col min="99" max="99" width="8.7109375" style="5" customWidth="1"/>
    <col min="100" max="113" width="8.7109375" style="5" hidden="1" customWidth="1"/>
    <col min="114" max="118" width="8.7109375" style="5" customWidth="1"/>
    <col min="119" max="122" width="8.7109375" style="5" hidden="1" customWidth="1"/>
    <col min="123" max="123" width="1.42578125" style="1" customWidth="1"/>
    <col min="124" max="16384" width="8.7109375" style="1"/>
  </cols>
  <sheetData>
    <row r="2" spans="1:124" s="12" customFormat="1" ht="13.5" customHeight="1" x14ac:dyDescent="0.3">
      <c r="A2" s="8"/>
      <c r="B2" s="9" t="s">
        <v>3</v>
      </c>
      <c r="C2" s="10"/>
      <c r="D2" s="11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</row>
    <row r="4" spans="1:124" ht="26.25" customHeight="1" x14ac:dyDescent="0.25">
      <c r="B4" s="99" t="s">
        <v>13</v>
      </c>
      <c r="C4" s="100"/>
      <c r="D4" s="100"/>
      <c r="E4" s="101"/>
    </row>
    <row r="5" spans="1:124" ht="13.9" x14ac:dyDescent="0.25">
      <c r="B5" s="25" t="s">
        <v>60</v>
      </c>
      <c r="C5" s="26"/>
      <c r="D5" s="26"/>
      <c r="E5" s="27"/>
    </row>
    <row r="6" spans="1:124" ht="13.9" x14ac:dyDescent="0.25">
      <c r="B6" s="25" t="s">
        <v>14</v>
      </c>
      <c r="C6" s="26"/>
      <c r="D6" s="26"/>
      <c r="E6" s="27"/>
    </row>
    <row r="7" spans="1:124" s="5" customFormat="1" ht="13.9" x14ac:dyDescent="0.25">
      <c r="B7" s="77" t="s">
        <v>99</v>
      </c>
      <c r="C7" s="26"/>
      <c r="D7" s="78">
        <v>2017</v>
      </c>
      <c r="E7" s="27"/>
    </row>
    <row r="8" spans="1:124" ht="27.75" customHeight="1" x14ac:dyDescent="0.25">
      <c r="B8" s="102" t="s">
        <v>59</v>
      </c>
      <c r="C8" s="103"/>
      <c r="D8" s="103"/>
      <c r="E8" s="104"/>
    </row>
    <row r="10" spans="1:124" ht="20.45" x14ac:dyDescent="0.35">
      <c r="F10" s="79" t="s">
        <v>4</v>
      </c>
    </row>
    <row r="11" spans="1:124" s="7" customFormat="1" ht="21.6" customHeight="1" x14ac:dyDescent="0.3">
      <c r="B11" s="38"/>
      <c r="C11" s="39"/>
      <c r="D11" s="40"/>
      <c r="E11" s="40"/>
      <c r="F11" s="15"/>
      <c r="G11" s="105" t="s">
        <v>19</v>
      </c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7"/>
      <c r="Y11" s="108" t="s">
        <v>35</v>
      </c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109"/>
      <c r="AN11" s="109"/>
      <c r="AO11" s="109"/>
      <c r="AP11" s="109"/>
      <c r="AQ11" s="110" t="s">
        <v>46</v>
      </c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09"/>
      <c r="BF11" s="109"/>
      <c r="BG11" s="109"/>
      <c r="BH11" s="109"/>
      <c r="BI11" s="15"/>
      <c r="BJ11" s="97" t="s">
        <v>19</v>
      </c>
      <c r="BK11" s="98"/>
      <c r="BL11" s="98"/>
      <c r="BM11" s="98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111" t="s">
        <v>35</v>
      </c>
      <c r="CC11" s="112"/>
      <c r="CD11" s="112"/>
      <c r="CE11" s="112"/>
      <c r="CF11" s="112"/>
      <c r="CG11" s="112"/>
      <c r="CH11" s="112"/>
      <c r="CI11" s="112"/>
      <c r="CJ11" s="112"/>
      <c r="CK11" s="112"/>
      <c r="CL11" s="112"/>
      <c r="CM11" s="112"/>
      <c r="CN11" s="112"/>
      <c r="CO11" s="112"/>
      <c r="CP11" s="112"/>
      <c r="CQ11" s="112"/>
      <c r="CR11" s="112"/>
      <c r="CS11" s="112"/>
      <c r="CT11" s="112"/>
      <c r="CU11" s="97" t="s">
        <v>46</v>
      </c>
      <c r="CV11" s="97"/>
      <c r="CW11" s="97"/>
      <c r="CX11" s="97"/>
      <c r="CY11" s="97"/>
      <c r="CZ11" s="97"/>
      <c r="DA11" s="97"/>
      <c r="DB11" s="97"/>
      <c r="DC11" s="97"/>
      <c r="DD11" s="98"/>
      <c r="DE11" s="98"/>
      <c r="DF11" s="98"/>
      <c r="DG11" s="98"/>
      <c r="DH11" s="98"/>
      <c r="DI11" s="98"/>
      <c r="DJ11" s="98"/>
      <c r="DK11" s="98"/>
      <c r="DL11" s="98"/>
      <c r="DM11" s="98"/>
      <c r="DN11" s="98"/>
      <c r="DO11" s="98"/>
      <c r="DP11" s="98"/>
      <c r="DQ11" s="98"/>
      <c r="DR11" s="98"/>
      <c r="DT11" s="32"/>
    </row>
    <row r="12" spans="1:124" s="6" customFormat="1" ht="78" customHeight="1" x14ac:dyDescent="0.3">
      <c r="B12" s="42" t="s">
        <v>12</v>
      </c>
      <c r="C12" s="43" t="s">
        <v>0</v>
      </c>
      <c r="D12" s="41" t="s">
        <v>7</v>
      </c>
      <c r="E12" s="41" t="s">
        <v>18</v>
      </c>
      <c r="F12" s="15"/>
      <c r="G12" s="16" t="s">
        <v>20</v>
      </c>
      <c r="H12" s="16" t="s">
        <v>83</v>
      </c>
      <c r="I12" s="16" t="s">
        <v>21</v>
      </c>
      <c r="J12" s="16" t="s">
        <v>22</v>
      </c>
      <c r="K12" s="16" t="s">
        <v>23</v>
      </c>
      <c r="L12" s="16" t="s">
        <v>24</v>
      </c>
      <c r="M12" s="16" t="s">
        <v>25</v>
      </c>
      <c r="N12" s="16" t="s">
        <v>84</v>
      </c>
      <c r="O12" s="16" t="s">
        <v>26</v>
      </c>
      <c r="P12" s="16" t="s">
        <v>27</v>
      </c>
      <c r="Q12" s="16" t="s">
        <v>28</v>
      </c>
      <c r="R12" s="16" t="s">
        <v>29</v>
      </c>
      <c r="S12" s="16" t="s">
        <v>30</v>
      </c>
      <c r="T12" s="16" t="s">
        <v>31</v>
      </c>
      <c r="U12" s="16" t="s">
        <v>32</v>
      </c>
      <c r="V12" s="16" t="s">
        <v>33</v>
      </c>
      <c r="W12" s="16" t="s">
        <v>34</v>
      </c>
      <c r="X12" s="16" t="s">
        <v>64</v>
      </c>
      <c r="Y12" s="16" t="s">
        <v>36</v>
      </c>
      <c r="Z12" s="16" t="s">
        <v>39</v>
      </c>
      <c r="AA12" s="17" t="s">
        <v>65</v>
      </c>
      <c r="AB12" s="16" t="s">
        <v>38</v>
      </c>
      <c r="AC12" s="17" t="s">
        <v>37</v>
      </c>
      <c r="AD12" s="16" t="s">
        <v>66</v>
      </c>
      <c r="AE12" s="16" t="s">
        <v>67</v>
      </c>
      <c r="AF12" s="16" t="s">
        <v>69</v>
      </c>
      <c r="AG12" s="16" t="s">
        <v>5</v>
      </c>
      <c r="AH12" s="16" t="s">
        <v>40</v>
      </c>
      <c r="AI12" s="16" t="s">
        <v>70</v>
      </c>
      <c r="AJ12" s="16" t="s">
        <v>41</v>
      </c>
      <c r="AK12" s="16" t="s">
        <v>42</v>
      </c>
      <c r="AL12" s="16" t="s">
        <v>43</v>
      </c>
      <c r="AM12" s="16" t="s">
        <v>44</v>
      </c>
      <c r="AN12" s="17" t="s">
        <v>71</v>
      </c>
      <c r="AO12" s="17" t="s">
        <v>72</v>
      </c>
      <c r="AP12" s="16" t="s">
        <v>64</v>
      </c>
      <c r="AQ12" s="16" t="s">
        <v>85</v>
      </c>
      <c r="AR12" s="16" t="s">
        <v>73</v>
      </c>
      <c r="AS12" s="16" t="s">
        <v>74</v>
      </c>
      <c r="AT12" s="16" t="s">
        <v>75</v>
      </c>
      <c r="AU12" s="16" t="s">
        <v>76</v>
      </c>
      <c r="AV12" s="16" t="s">
        <v>77</v>
      </c>
      <c r="AW12" s="16" t="s">
        <v>78</v>
      </c>
      <c r="AX12" s="17" t="s">
        <v>86</v>
      </c>
      <c r="AY12" s="16" t="s">
        <v>87</v>
      </c>
      <c r="AZ12" s="16" t="s">
        <v>48</v>
      </c>
      <c r="BA12" s="16" t="s">
        <v>6</v>
      </c>
      <c r="BB12" s="16" t="s">
        <v>45</v>
      </c>
      <c r="BC12" s="16" t="s">
        <v>49</v>
      </c>
      <c r="BD12" s="16" t="s">
        <v>50</v>
      </c>
      <c r="BE12" s="16" t="s">
        <v>51</v>
      </c>
      <c r="BF12" s="16" t="s">
        <v>52</v>
      </c>
      <c r="BG12" s="16" t="s">
        <v>53</v>
      </c>
      <c r="BH12" s="16" t="s">
        <v>54</v>
      </c>
      <c r="BI12" s="15"/>
      <c r="BJ12" s="16" t="s">
        <v>20</v>
      </c>
      <c r="BK12" s="16" t="s">
        <v>61</v>
      </c>
      <c r="BL12" s="16" t="s">
        <v>21</v>
      </c>
      <c r="BM12" s="16" t="s">
        <v>22</v>
      </c>
      <c r="BN12" s="16" t="s">
        <v>23</v>
      </c>
      <c r="BO12" s="16" t="s">
        <v>24</v>
      </c>
      <c r="BP12" s="16" t="s">
        <v>25</v>
      </c>
      <c r="BQ12" s="16" t="s">
        <v>62</v>
      </c>
      <c r="BR12" s="16" t="s">
        <v>26</v>
      </c>
      <c r="BS12" s="16" t="s">
        <v>27</v>
      </c>
      <c r="BT12" s="16" t="s">
        <v>28</v>
      </c>
      <c r="BU12" s="16" t="s">
        <v>29</v>
      </c>
      <c r="BV12" s="16" t="s">
        <v>30</v>
      </c>
      <c r="BW12" s="16" t="s">
        <v>31</v>
      </c>
      <c r="BX12" s="16" t="s">
        <v>32</v>
      </c>
      <c r="BY12" s="16" t="s">
        <v>33</v>
      </c>
      <c r="BZ12" s="16" t="s">
        <v>63</v>
      </c>
      <c r="CA12" s="16" t="s">
        <v>64</v>
      </c>
      <c r="CB12" s="16" t="s">
        <v>36</v>
      </c>
      <c r="CC12" s="16" t="s">
        <v>39</v>
      </c>
      <c r="CD12" s="16" t="s">
        <v>65</v>
      </c>
      <c r="CE12" s="16" t="s">
        <v>38</v>
      </c>
      <c r="CF12" s="16" t="s">
        <v>37</v>
      </c>
      <c r="CG12" s="16" t="s">
        <v>66</v>
      </c>
      <c r="CH12" s="16" t="s">
        <v>67</v>
      </c>
      <c r="CI12" s="16" t="s">
        <v>68</v>
      </c>
      <c r="CJ12" s="16" t="s">
        <v>69</v>
      </c>
      <c r="CK12" s="16" t="s">
        <v>5</v>
      </c>
      <c r="CL12" s="16" t="s">
        <v>40</v>
      </c>
      <c r="CM12" s="16" t="s">
        <v>70</v>
      </c>
      <c r="CN12" s="16" t="s">
        <v>41</v>
      </c>
      <c r="CO12" s="16" t="s">
        <v>42</v>
      </c>
      <c r="CP12" s="16" t="s">
        <v>43</v>
      </c>
      <c r="CQ12" s="16" t="s">
        <v>44</v>
      </c>
      <c r="CR12" s="16" t="s">
        <v>71</v>
      </c>
      <c r="CS12" s="16" t="s">
        <v>72</v>
      </c>
      <c r="CT12" s="17" t="s">
        <v>64</v>
      </c>
      <c r="CU12" s="16" t="s">
        <v>47</v>
      </c>
      <c r="CV12" s="16" t="s">
        <v>73</v>
      </c>
      <c r="CW12" s="16" t="s">
        <v>74</v>
      </c>
      <c r="CX12" s="16" t="s">
        <v>75</v>
      </c>
      <c r="CY12" s="16" t="s">
        <v>76</v>
      </c>
      <c r="CZ12" s="16" t="s">
        <v>77</v>
      </c>
      <c r="DA12" s="16" t="s">
        <v>78</v>
      </c>
      <c r="DB12" s="18" t="s">
        <v>79</v>
      </c>
      <c r="DC12" s="16" t="s">
        <v>80</v>
      </c>
      <c r="DD12" s="16" t="s">
        <v>48</v>
      </c>
      <c r="DE12" s="16" t="s">
        <v>6</v>
      </c>
      <c r="DF12" s="16" t="s">
        <v>81</v>
      </c>
      <c r="DG12" s="16" t="s">
        <v>45</v>
      </c>
      <c r="DH12" s="16" t="s">
        <v>82</v>
      </c>
      <c r="DI12" s="16" t="s">
        <v>49</v>
      </c>
      <c r="DJ12" s="16" t="s">
        <v>50</v>
      </c>
      <c r="DK12" s="16" t="s">
        <v>51</v>
      </c>
      <c r="DL12" s="16" t="s">
        <v>52</v>
      </c>
      <c r="DM12" s="16" t="s">
        <v>53</v>
      </c>
      <c r="DN12" s="16" t="s">
        <v>54</v>
      </c>
      <c r="DO12" s="16" t="s">
        <v>55</v>
      </c>
      <c r="DP12" s="16" t="s">
        <v>56</v>
      </c>
      <c r="DQ12" s="16" t="s">
        <v>57</v>
      </c>
      <c r="DR12" s="16" t="s">
        <v>58</v>
      </c>
      <c r="DT12" s="33" t="s">
        <v>88</v>
      </c>
    </row>
    <row r="13" spans="1:124" ht="14.45" x14ac:dyDescent="0.3">
      <c r="B13" s="4">
        <f>'6.1Personnel List'!B14</f>
        <v>1</v>
      </c>
      <c r="C13" s="84" t="s">
        <v>100</v>
      </c>
      <c r="D13" s="86" t="s">
        <v>119</v>
      </c>
      <c r="E13" s="86" t="s">
        <v>212</v>
      </c>
      <c r="F13" s="35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5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>
        <v>0.2</v>
      </c>
      <c r="DK13" s="34">
        <v>0.2</v>
      </c>
      <c r="DL13" s="34">
        <v>0.2</v>
      </c>
      <c r="DM13" s="34">
        <v>0.2</v>
      </c>
      <c r="DN13" s="34">
        <v>0.2</v>
      </c>
      <c r="DO13" s="34"/>
      <c r="DP13" s="34"/>
      <c r="DQ13" s="34"/>
      <c r="DR13" s="34"/>
      <c r="DS13" s="36"/>
      <c r="DT13" s="37">
        <f>SUM(BJ13:DN13)</f>
        <v>1</v>
      </c>
    </row>
    <row r="14" spans="1:124" x14ac:dyDescent="0.3">
      <c r="B14" s="4">
        <f>'6.1Personnel List'!B15</f>
        <v>2</v>
      </c>
      <c r="C14" s="85" t="s">
        <v>101</v>
      </c>
      <c r="D14" s="87" t="s">
        <v>119</v>
      </c>
      <c r="E14" s="87" t="s">
        <v>212</v>
      </c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>
        <v>0.2</v>
      </c>
      <c r="DK14" s="34">
        <v>0.2</v>
      </c>
      <c r="DL14" s="34">
        <v>0.2</v>
      </c>
      <c r="DM14" s="34">
        <v>0.2</v>
      </c>
      <c r="DN14" s="34">
        <v>0.2</v>
      </c>
      <c r="DO14" s="34"/>
      <c r="DP14" s="34"/>
      <c r="DQ14" s="34"/>
      <c r="DR14" s="34"/>
      <c r="DS14" s="36"/>
      <c r="DT14" s="37">
        <f>SUM(BJ14:DN14)</f>
        <v>1</v>
      </c>
    </row>
    <row r="15" spans="1:124" ht="14.45" hidden="1" x14ac:dyDescent="0.3">
      <c r="B15" s="4">
        <f>'6.1Personnel List'!B16</f>
        <v>3</v>
      </c>
      <c r="C15" s="85" t="s">
        <v>102</v>
      </c>
      <c r="D15" s="87" t="s">
        <v>120</v>
      </c>
      <c r="E15" s="87" t="s">
        <v>212</v>
      </c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>
        <v>0.1</v>
      </c>
      <c r="CL15" s="34">
        <v>0.1</v>
      </c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>
        <v>0.1</v>
      </c>
      <c r="DK15" s="34">
        <v>0.1</v>
      </c>
      <c r="DL15" s="34">
        <v>0.1</v>
      </c>
      <c r="DM15" s="34">
        <v>0.3</v>
      </c>
      <c r="DN15" s="34">
        <v>0.2</v>
      </c>
      <c r="DO15" s="34"/>
      <c r="DP15" s="34"/>
      <c r="DQ15" s="34"/>
      <c r="DR15" s="34"/>
      <c r="DS15" s="36"/>
      <c r="DT15" s="37">
        <f t="shared" ref="DT13:DT18" si="0">SUM(F15:DR15)</f>
        <v>1</v>
      </c>
    </row>
    <row r="16" spans="1:124" x14ac:dyDescent="0.3">
      <c r="B16" s="4">
        <f>'6.1Personnel List'!B17</f>
        <v>4</v>
      </c>
      <c r="C16" s="85" t="s">
        <v>103</v>
      </c>
      <c r="D16" s="87" t="s">
        <v>119</v>
      </c>
      <c r="E16" s="87" t="s">
        <v>212</v>
      </c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>
        <v>0.3</v>
      </c>
      <c r="CM16" s="34"/>
      <c r="CN16" s="34"/>
      <c r="CO16" s="34"/>
      <c r="CP16" s="34"/>
      <c r="CQ16" s="34"/>
      <c r="CR16" s="34"/>
      <c r="CS16" s="34"/>
      <c r="CT16" s="34"/>
      <c r="CU16" s="34">
        <v>0.7</v>
      </c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6"/>
      <c r="DT16" s="37">
        <f>SUM(BJ16:DN16)</f>
        <v>1</v>
      </c>
    </row>
    <row r="17" spans="2:124" ht="14.45" hidden="1" x14ac:dyDescent="0.3">
      <c r="B17" s="4">
        <f>'6.1Personnel List'!B18</f>
        <v>5</v>
      </c>
      <c r="C17" s="85" t="s">
        <v>104</v>
      </c>
      <c r="D17" s="87" t="s">
        <v>121</v>
      </c>
      <c r="E17" s="87" t="s">
        <v>212</v>
      </c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>
        <v>1</v>
      </c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6"/>
      <c r="DT17" s="37">
        <f t="shared" si="0"/>
        <v>1</v>
      </c>
    </row>
    <row r="18" spans="2:124" ht="14.45" hidden="1" x14ac:dyDescent="0.3">
      <c r="B18" s="4">
        <f>'6.1Personnel List'!B19</f>
        <v>6</v>
      </c>
      <c r="C18" s="85" t="s">
        <v>105</v>
      </c>
      <c r="D18" s="87" t="s">
        <v>122</v>
      </c>
      <c r="E18" s="87" t="s">
        <v>212</v>
      </c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J18" s="34"/>
      <c r="BK18" s="34"/>
      <c r="BL18" s="34">
        <v>1</v>
      </c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6"/>
      <c r="DT18" s="37">
        <f t="shared" si="0"/>
        <v>1</v>
      </c>
    </row>
    <row r="19" spans="2:124" s="5" customFormat="1" x14ac:dyDescent="0.3">
      <c r="B19" s="4">
        <f>'6.1Personnel List'!B20</f>
        <v>7</v>
      </c>
      <c r="C19" s="85" t="s">
        <v>106</v>
      </c>
      <c r="D19" s="87" t="s">
        <v>119</v>
      </c>
      <c r="E19" s="87" t="s">
        <v>212</v>
      </c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>
        <v>0.3</v>
      </c>
      <c r="CM19" s="34"/>
      <c r="CN19" s="34"/>
      <c r="CO19" s="34"/>
      <c r="CP19" s="34"/>
      <c r="CQ19" s="34"/>
      <c r="CR19" s="34"/>
      <c r="CS19" s="34"/>
      <c r="CT19" s="34"/>
      <c r="CU19" s="34">
        <v>0.7</v>
      </c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6"/>
      <c r="DT19" s="37">
        <f>SUM(BJ19:DN19)</f>
        <v>1</v>
      </c>
    </row>
    <row r="20" spans="2:124" s="5" customFormat="1" ht="14.45" hidden="1" x14ac:dyDescent="0.3">
      <c r="B20" s="4">
        <f>'6.1Personnel List'!B21</f>
        <v>8</v>
      </c>
      <c r="C20" s="85" t="s">
        <v>107</v>
      </c>
      <c r="D20" s="87" t="s">
        <v>123</v>
      </c>
      <c r="E20" s="87" t="s">
        <v>212</v>
      </c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J20" s="34"/>
      <c r="BK20" s="34"/>
      <c r="BL20" s="34"/>
      <c r="BM20" s="34"/>
      <c r="BN20" s="34"/>
      <c r="BO20" s="34"/>
      <c r="BP20" s="34"/>
      <c r="BQ20" s="34">
        <v>1</v>
      </c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6"/>
      <c r="DT20" s="37">
        <f t="shared" ref="DT20" si="1">SUM(F20:DR20)</f>
        <v>1</v>
      </c>
    </row>
    <row r="21" spans="2:124" s="5" customFormat="1" ht="14.45" hidden="1" x14ac:dyDescent="0.3">
      <c r="B21" s="4">
        <f>'6.1Personnel List'!B22</f>
        <v>9</v>
      </c>
      <c r="C21" s="85" t="s">
        <v>108</v>
      </c>
      <c r="D21" s="87" t="s">
        <v>124</v>
      </c>
      <c r="E21" s="87" t="s">
        <v>212</v>
      </c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J21" s="34"/>
      <c r="BK21" s="34"/>
      <c r="BL21" s="34">
        <v>0.5</v>
      </c>
      <c r="BM21" s="34">
        <v>0.5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6"/>
      <c r="DT21" s="37">
        <f t="shared" ref="DT21" si="2">SUM(F21:DR21)</f>
        <v>1</v>
      </c>
    </row>
    <row r="22" spans="2:124" s="5" customFormat="1" x14ac:dyDescent="0.3">
      <c r="B22" s="4">
        <f>'6.1Personnel List'!B93</f>
        <v>10</v>
      </c>
      <c r="C22" s="85" t="s">
        <v>109</v>
      </c>
      <c r="D22" s="87" t="s">
        <v>119</v>
      </c>
      <c r="E22" s="87" t="s">
        <v>212</v>
      </c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>
        <v>0.2</v>
      </c>
      <c r="DK22" s="34">
        <v>0.2</v>
      </c>
      <c r="DL22" s="34">
        <v>0.2</v>
      </c>
      <c r="DM22" s="34">
        <v>0.2</v>
      </c>
      <c r="DN22" s="34">
        <v>0.2</v>
      </c>
      <c r="DO22" s="34"/>
      <c r="DP22" s="34"/>
      <c r="DQ22" s="34"/>
      <c r="DR22" s="34"/>
      <c r="DS22" s="36"/>
      <c r="DT22" s="37">
        <f>SUM(BJ22:DN22)</f>
        <v>1</v>
      </c>
    </row>
    <row r="23" spans="2:124" s="5" customFormat="1" ht="14.45" hidden="1" x14ac:dyDescent="0.3">
      <c r="B23" s="4">
        <v>11</v>
      </c>
      <c r="C23" s="85" t="s">
        <v>110</v>
      </c>
      <c r="D23" s="87" t="s">
        <v>36</v>
      </c>
      <c r="E23" s="87" t="s">
        <v>212</v>
      </c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>
        <v>1</v>
      </c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6"/>
      <c r="DT23" s="37">
        <f t="shared" ref="DT23" si="3">SUM(F23:DR23)</f>
        <v>1</v>
      </c>
    </row>
    <row r="24" spans="2:124" s="5" customFormat="1" x14ac:dyDescent="0.3">
      <c r="B24" s="4">
        <v>12</v>
      </c>
      <c r="C24" s="85" t="s">
        <v>111</v>
      </c>
      <c r="D24" s="87" t="s">
        <v>119</v>
      </c>
      <c r="E24" s="87" t="s">
        <v>212</v>
      </c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>
        <v>0.1</v>
      </c>
      <c r="CL24" s="34">
        <v>0.1</v>
      </c>
      <c r="CM24" s="34"/>
      <c r="CN24" s="34"/>
      <c r="CO24" s="34"/>
      <c r="CP24" s="34"/>
      <c r="CQ24" s="34"/>
      <c r="CR24" s="34"/>
      <c r="CS24" s="34"/>
      <c r="CT24" s="34"/>
      <c r="CU24" s="34">
        <v>0.8</v>
      </c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6"/>
      <c r="DT24" s="37">
        <f>SUM(BJ24:DN24)</f>
        <v>1</v>
      </c>
    </row>
    <row r="25" spans="2:124" s="5" customFormat="1" ht="14.45" hidden="1" x14ac:dyDescent="0.3">
      <c r="B25" s="4">
        <v>13</v>
      </c>
      <c r="C25" s="85" t="s">
        <v>112</v>
      </c>
      <c r="D25" s="87" t="s">
        <v>125</v>
      </c>
      <c r="E25" s="87" t="s">
        <v>212</v>
      </c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>
        <v>1</v>
      </c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6"/>
      <c r="DT25" s="37">
        <f t="shared" ref="DT25" si="4">SUM(F25:DR25)</f>
        <v>1</v>
      </c>
    </row>
    <row r="26" spans="2:124" s="5" customFormat="1" ht="14.45" hidden="1" x14ac:dyDescent="0.3">
      <c r="B26" s="4">
        <v>14</v>
      </c>
      <c r="C26" s="85" t="s">
        <v>113</v>
      </c>
      <c r="D26" s="87" t="s">
        <v>123</v>
      </c>
      <c r="E26" s="87" t="s">
        <v>212</v>
      </c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J26" s="34"/>
      <c r="BK26" s="34"/>
      <c r="BL26" s="34"/>
      <c r="BM26" s="34"/>
      <c r="BN26" s="34"/>
      <c r="BO26" s="34"/>
      <c r="BP26" s="34"/>
      <c r="BQ26" s="34">
        <v>1</v>
      </c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6"/>
      <c r="DT26" s="37">
        <f t="shared" ref="DT26" si="5">SUM(F26:DR26)</f>
        <v>1</v>
      </c>
    </row>
    <row r="27" spans="2:124" s="5" customFormat="1" ht="14.45" hidden="1" x14ac:dyDescent="0.3">
      <c r="B27" s="4">
        <v>15</v>
      </c>
      <c r="C27" s="85" t="s">
        <v>114</v>
      </c>
      <c r="D27" s="87" t="s">
        <v>126</v>
      </c>
      <c r="E27" s="87" t="s">
        <v>212</v>
      </c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J27" s="34"/>
      <c r="BK27" s="34"/>
      <c r="BL27" s="34"/>
      <c r="BM27" s="34"/>
      <c r="BN27" s="34"/>
      <c r="BO27" s="34"/>
      <c r="BP27" s="34"/>
      <c r="BQ27" s="34"/>
      <c r="BR27" s="34">
        <v>1</v>
      </c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6"/>
      <c r="DT27" s="37">
        <f t="shared" ref="DT27" si="6">SUM(F27:DR27)</f>
        <v>1</v>
      </c>
    </row>
    <row r="28" spans="2:124" s="5" customFormat="1" ht="14.45" hidden="1" x14ac:dyDescent="0.3">
      <c r="B28" s="4">
        <v>16</v>
      </c>
      <c r="C28" s="85" t="s">
        <v>115</v>
      </c>
      <c r="D28" s="87" t="s">
        <v>127</v>
      </c>
      <c r="E28" s="87" t="s">
        <v>212</v>
      </c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J28" s="34"/>
      <c r="BK28" s="34"/>
      <c r="BL28" s="34"/>
      <c r="BM28" s="34"/>
      <c r="BN28" s="34"/>
      <c r="BO28" s="34"/>
      <c r="BP28" s="34"/>
      <c r="BQ28" s="34"/>
      <c r="BR28" s="34">
        <v>1</v>
      </c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6"/>
      <c r="DT28" s="37">
        <f t="shared" ref="DT28" si="7">SUM(F28:DR28)</f>
        <v>1</v>
      </c>
    </row>
    <row r="29" spans="2:124" s="5" customFormat="1" ht="14.45" hidden="1" x14ac:dyDescent="0.3">
      <c r="B29" s="4">
        <v>17</v>
      </c>
      <c r="C29" s="85" t="s">
        <v>116</v>
      </c>
      <c r="D29" s="87" t="s">
        <v>120</v>
      </c>
      <c r="E29" s="87" t="s">
        <v>212</v>
      </c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>
        <v>0.1</v>
      </c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>
        <v>0.1</v>
      </c>
      <c r="DK29" s="34">
        <v>0.1</v>
      </c>
      <c r="DL29" s="34">
        <v>0.1</v>
      </c>
      <c r="DM29" s="34">
        <v>0.4</v>
      </c>
      <c r="DN29" s="34">
        <v>0.2</v>
      </c>
      <c r="DO29" s="34"/>
      <c r="DP29" s="34"/>
      <c r="DQ29" s="34"/>
      <c r="DR29" s="34"/>
      <c r="DS29" s="36"/>
      <c r="DT29" s="37">
        <f t="shared" ref="DT29" si="8">SUM(F29:DR29)</f>
        <v>1</v>
      </c>
    </row>
    <row r="30" spans="2:124" s="5" customFormat="1" hidden="1" x14ac:dyDescent="0.3">
      <c r="B30" s="4">
        <v>18</v>
      </c>
      <c r="C30" s="85" t="s">
        <v>117</v>
      </c>
      <c r="D30" s="87" t="s">
        <v>128</v>
      </c>
      <c r="E30" s="87" t="s">
        <v>212</v>
      </c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>
        <v>1</v>
      </c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6"/>
      <c r="DT30" s="37">
        <f t="shared" ref="DT30" si="9">SUM(F30:DR30)</f>
        <v>1</v>
      </c>
    </row>
    <row r="31" spans="2:124" s="5" customFormat="1" x14ac:dyDescent="0.3">
      <c r="B31" s="4">
        <v>19</v>
      </c>
      <c r="C31" s="85" t="s">
        <v>118</v>
      </c>
      <c r="D31" s="87" t="s">
        <v>119</v>
      </c>
      <c r="E31" s="87" t="s">
        <v>212</v>
      </c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>
        <v>0.4</v>
      </c>
      <c r="CM31" s="34"/>
      <c r="CN31" s="34"/>
      <c r="CO31" s="34"/>
      <c r="CP31" s="34"/>
      <c r="CQ31" s="34"/>
      <c r="CR31" s="34"/>
      <c r="CS31" s="34"/>
      <c r="CT31" s="34"/>
      <c r="CU31" s="34">
        <v>0.6</v>
      </c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6"/>
      <c r="DT31" s="37">
        <f>SUM(BJ31:DN31)</f>
        <v>1</v>
      </c>
    </row>
    <row r="32" spans="2:124" s="5" customFormat="1" hidden="1" x14ac:dyDescent="0.3">
      <c r="B32" s="4">
        <v>20</v>
      </c>
      <c r="C32" s="85" t="s">
        <v>129</v>
      </c>
      <c r="D32" s="87" t="s">
        <v>123</v>
      </c>
      <c r="E32" s="87" t="s">
        <v>212</v>
      </c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J32" s="34"/>
      <c r="BK32" s="34"/>
      <c r="BL32" s="34"/>
      <c r="BM32" s="34"/>
      <c r="BN32" s="34"/>
      <c r="BO32" s="34"/>
      <c r="BP32" s="34"/>
      <c r="BQ32" s="34">
        <v>1</v>
      </c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6"/>
      <c r="DT32" s="37">
        <f t="shared" ref="DT32" si="10">SUM(F32:DR32)</f>
        <v>1</v>
      </c>
    </row>
    <row r="33" spans="2:124" s="5" customFormat="1" hidden="1" x14ac:dyDescent="0.3">
      <c r="B33" s="4">
        <v>21</v>
      </c>
      <c r="C33" s="85" t="s">
        <v>130</v>
      </c>
      <c r="D33" s="87" t="s">
        <v>131</v>
      </c>
      <c r="E33" s="87" t="s">
        <v>212</v>
      </c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>
        <v>1</v>
      </c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6"/>
      <c r="DT33" s="37">
        <f t="shared" ref="DT33" si="11">SUM(F33:DR33)</f>
        <v>1</v>
      </c>
    </row>
    <row r="34" spans="2:124" s="5" customFormat="1" hidden="1" x14ac:dyDescent="0.3">
      <c r="B34" s="4">
        <v>22</v>
      </c>
      <c r="C34" s="85" t="s">
        <v>132</v>
      </c>
      <c r="D34" s="87" t="s">
        <v>123</v>
      </c>
      <c r="E34" s="87" t="s">
        <v>212</v>
      </c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J34" s="34"/>
      <c r="BK34" s="34"/>
      <c r="BL34" s="34"/>
      <c r="BM34" s="34"/>
      <c r="BN34" s="34"/>
      <c r="BO34" s="34"/>
      <c r="BP34" s="34"/>
      <c r="BQ34" s="34">
        <v>1</v>
      </c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6"/>
      <c r="DT34" s="37">
        <f t="shared" ref="DT34" si="12">SUM(F34:DR34)</f>
        <v>1</v>
      </c>
    </row>
    <row r="35" spans="2:124" s="5" customFormat="1" x14ac:dyDescent="0.3">
      <c r="B35" s="4">
        <v>23</v>
      </c>
      <c r="C35" s="85" t="s">
        <v>133</v>
      </c>
      <c r="D35" s="87" t="s">
        <v>119</v>
      </c>
      <c r="E35" s="87" t="s">
        <v>212</v>
      </c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>
        <v>0.4</v>
      </c>
      <c r="CM35" s="34"/>
      <c r="CN35" s="34"/>
      <c r="CO35" s="34"/>
      <c r="CP35" s="34"/>
      <c r="CQ35" s="34"/>
      <c r="CR35" s="34"/>
      <c r="CS35" s="34"/>
      <c r="CT35" s="34"/>
      <c r="CU35" s="34">
        <v>0.6</v>
      </c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6"/>
      <c r="DT35" s="37">
        <f>SUM(BJ35:DN35)</f>
        <v>1</v>
      </c>
    </row>
    <row r="36" spans="2:124" s="5" customFormat="1" hidden="1" x14ac:dyDescent="0.3">
      <c r="B36" s="4">
        <v>24</v>
      </c>
      <c r="C36" s="85" t="s">
        <v>134</v>
      </c>
      <c r="D36" s="87" t="s">
        <v>135</v>
      </c>
      <c r="E36" s="87" t="s">
        <v>212</v>
      </c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>
        <v>1</v>
      </c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6"/>
      <c r="DT36" s="37">
        <f t="shared" ref="DT36" si="13">SUM(F36:DR36)</f>
        <v>1</v>
      </c>
    </row>
    <row r="37" spans="2:124" s="5" customFormat="1" x14ac:dyDescent="0.3">
      <c r="B37" s="4">
        <v>25</v>
      </c>
      <c r="C37" s="85" t="s">
        <v>136</v>
      </c>
      <c r="D37" s="87" t="s">
        <v>119</v>
      </c>
      <c r="E37" s="87" t="s">
        <v>212</v>
      </c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>
        <v>0.4</v>
      </c>
      <c r="CM37" s="34"/>
      <c r="CN37" s="34"/>
      <c r="CO37" s="34"/>
      <c r="CP37" s="34"/>
      <c r="CQ37" s="34"/>
      <c r="CR37" s="34"/>
      <c r="CS37" s="34"/>
      <c r="CT37" s="34"/>
      <c r="CU37" s="34">
        <v>0.6</v>
      </c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6"/>
      <c r="DT37" s="37">
        <f>SUM(BJ37:DN37)</f>
        <v>1</v>
      </c>
    </row>
    <row r="38" spans="2:124" s="5" customFormat="1" hidden="1" x14ac:dyDescent="0.3">
      <c r="B38" s="4">
        <v>26</v>
      </c>
      <c r="C38" s="85" t="s">
        <v>137</v>
      </c>
      <c r="D38" s="87" t="s">
        <v>138</v>
      </c>
      <c r="E38" s="87" t="s">
        <v>212</v>
      </c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>
        <v>1</v>
      </c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6"/>
      <c r="DT38" s="37">
        <f t="shared" ref="DT38" si="14">SUM(F38:DR38)</f>
        <v>1</v>
      </c>
    </row>
    <row r="39" spans="2:124" s="5" customFormat="1" hidden="1" x14ac:dyDescent="0.3">
      <c r="B39" s="4">
        <v>27</v>
      </c>
      <c r="C39" s="85" t="s">
        <v>139</v>
      </c>
      <c r="D39" s="87" t="s">
        <v>128</v>
      </c>
      <c r="E39" s="87" t="s">
        <v>212</v>
      </c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>
        <v>1</v>
      </c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6"/>
      <c r="DT39" s="37">
        <f t="shared" ref="DT39" si="15">SUM(F39:DR39)</f>
        <v>1</v>
      </c>
    </row>
    <row r="40" spans="2:124" s="5" customFormat="1" hidden="1" x14ac:dyDescent="0.3">
      <c r="B40" s="4">
        <v>28</v>
      </c>
      <c r="C40" s="85" t="s">
        <v>140</v>
      </c>
      <c r="D40" s="87" t="s">
        <v>123</v>
      </c>
      <c r="E40" s="87" t="s">
        <v>212</v>
      </c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J40" s="34"/>
      <c r="BK40" s="34"/>
      <c r="BL40" s="34"/>
      <c r="BM40" s="34"/>
      <c r="BN40" s="34"/>
      <c r="BO40" s="34"/>
      <c r="BP40" s="34"/>
      <c r="BQ40" s="34">
        <v>1</v>
      </c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6"/>
      <c r="DT40" s="37">
        <f t="shared" ref="DT40" si="16">SUM(F40:DR40)</f>
        <v>1</v>
      </c>
    </row>
    <row r="41" spans="2:124" s="5" customFormat="1" hidden="1" x14ac:dyDescent="0.3">
      <c r="B41" s="4">
        <v>29</v>
      </c>
      <c r="C41" s="85" t="s">
        <v>141</v>
      </c>
      <c r="D41" s="87" t="s">
        <v>142</v>
      </c>
      <c r="E41" s="87" t="s">
        <v>212</v>
      </c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>
        <v>1</v>
      </c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6"/>
      <c r="DT41" s="37">
        <f t="shared" ref="DT41" si="17">SUM(F41:DR41)</f>
        <v>1</v>
      </c>
    </row>
    <row r="42" spans="2:124" s="5" customFormat="1" ht="14.45" hidden="1" x14ac:dyDescent="0.3">
      <c r="B42" s="4">
        <v>29</v>
      </c>
      <c r="C42" s="85" t="s">
        <v>141</v>
      </c>
      <c r="D42" s="87" t="s">
        <v>142</v>
      </c>
      <c r="E42" s="87" t="s">
        <v>212</v>
      </c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>
        <v>1</v>
      </c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6"/>
      <c r="DT42" s="37">
        <f t="shared" ref="DT42" si="18">SUM(F42:DR42)</f>
        <v>1</v>
      </c>
    </row>
    <row r="43" spans="2:124" s="5" customFormat="1" ht="14.45" hidden="1" x14ac:dyDescent="0.3">
      <c r="B43" s="4">
        <v>29</v>
      </c>
      <c r="C43" s="85" t="s">
        <v>141</v>
      </c>
      <c r="D43" s="87" t="s">
        <v>142</v>
      </c>
      <c r="E43" s="87" t="s">
        <v>212</v>
      </c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>
        <v>1</v>
      </c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6"/>
      <c r="DT43" s="37">
        <f t="shared" ref="DT43" si="19">SUM(F43:DR43)</f>
        <v>1</v>
      </c>
    </row>
    <row r="44" spans="2:124" s="5" customFormat="1" ht="14.45" hidden="1" x14ac:dyDescent="0.3">
      <c r="B44" s="4">
        <v>29</v>
      </c>
      <c r="C44" s="85" t="s">
        <v>141</v>
      </c>
      <c r="D44" s="87" t="s">
        <v>142</v>
      </c>
      <c r="E44" s="87" t="s">
        <v>212</v>
      </c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>
        <v>1</v>
      </c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6"/>
      <c r="DT44" s="37">
        <f t="shared" ref="DT44" si="20">SUM(F44:DR44)</f>
        <v>1</v>
      </c>
    </row>
    <row r="45" spans="2:124" s="5" customFormat="1" ht="14.45" hidden="1" x14ac:dyDescent="0.3">
      <c r="B45" s="4">
        <v>29</v>
      </c>
      <c r="C45" s="85" t="s">
        <v>141</v>
      </c>
      <c r="D45" s="87" t="s">
        <v>142</v>
      </c>
      <c r="E45" s="87" t="s">
        <v>212</v>
      </c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>
        <v>1</v>
      </c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6"/>
      <c r="DT45" s="37">
        <f t="shared" ref="DT45" si="21">SUM(F45:DR45)</f>
        <v>1</v>
      </c>
    </row>
    <row r="46" spans="2:124" s="5" customFormat="1" ht="14.45" hidden="1" x14ac:dyDescent="0.3">
      <c r="B46" s="4">
        <v>29</v>
      </c>
      <c r="C46" s="85" t="s">
        <v>141</v>
      </c>
      <c r="D46" s="87" t="s">
        <v>142</v>
      </c>
      <c r="E46" s="87" t="s">
        <v>212</v>
      </c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>
        <v>1</v>
      </c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6"/>
      <c r="DT46" s="37">
        <f t="shared" ref="DT46" si="22">SUM(F46:DR46)</f>
        <v>1</v>
      </c>
    </row>
    <row r="47" spans="2:124" s="5" customFormat="1" ht="14.45" hidden="1" x14ac:dyDescent="0.3">
      <c r="B47" s="4">
        <v>29</v>
      </c>
      <c r="C47" s="85" t="s">
        <v>141</v>
      </c>
      <c r="D47" s="87" t="s">
        <v>142</v>
      </c>
      <c r="E47" s="87" t="s">
        <v>212</v>
      </c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>
        <v>1</v>
      </c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6"/>
      <c r="DT47" s="37">
        <f t="shared" ref="DT47" si="23">SUM(F47:DR47)</f>
        <v>1</v>
      </c>
    </row>
    <row r="48" spans="2:124" s="5" customFormat="1" ht="14.45" hidden="1" x14ac:dyDescent="0.3">
      <c r="B48" s="4">
        <v>29</v>
      </c>
      <c r="C48" s="85" t="s">
        <v>141</v>
      </c>
      <c r="D48" s="87" t="s">
        <v>142</v>
      </c>
      <c r="E48" s="87" t="s">
        <v>212</v>
      </c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>
        <v>1</v>
      </c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6"/>
      <c r="DT48" s="37">
        <f t="shared" ref="DT48" si="24">SUM(F48:DR48)</f>
        <v>1</v>
      </c>
    </row>
    <row r="49" spans="2:124" s="5" customFormat="1" ht="14.45" hidden="1" x14ac:dyDescent="0.3">
      <c r="B49" s="4">
        <v>29</v>
      </c>
      <c r="C49" s="85" t="s">
        <v>141</v>
      </c>
      <c r="D49" s="87" t="s">
        <v>142</v>
      </c>
      <c r="E49" s="87" t="s">
        <v>212</v>
      </c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>
        <v>1</v>
      </c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6"/>
      <c r="DT49" s="37">
        <f t="shared" ref="DT49" si="25">SUM(F49:DR49)</f>
        <v>1</v>
      </c>
    </row>
    <row r="50" spans="2:124" s="5" customFormat="1" ht="14.45" hidden="1" x14ac:dyDescent="0.3">
      <c r="B50" s="4">
        <v>29</v>
      </c>
      <c r="C50" s="85" t="s">
        <v>141</v>
      </c>
      <c r="D50" s="87" t="s">
        <v>142</v>
      </c>
      <c r="E50" s="87" t="s">
        <v>212</v>
      </c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>
        <v>1</v>
      </c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6"/>
      <c r="DT50" s="37">
        <f t="shared" ref="DT50" si="26">SUM(F50:DR50)</f>
        <v>1</v>
      </c>
    </row>
    <row r="51" spans="2:124" s="5" customFormat="1" ht="14.45" hidden="1" x14ac:dyDescent="0.3">
      <c r="B51" s="4">
        <v>29</v>
      </c>
      <c r="C51" s="85" t="s">
        <v>141</v>
      </c>
      <c r="D51" s="87" t="s">
        <v>142</v>
      </c>
      <c r="E51" s="87" t="s">
        <v>212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>
        <v>1</v>
      </c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6"/>
      <c r="DT51" s="37">
        <f t="shared" ref="DT51" si="27">SUM(F51:DR51)</f>
        <v>1</v>
      </c>
    </row>
    <row r="52" spans="2:124" s="5" customFormat="1" ht="14.45" hidden="1" x14ac:dyDescent="0.3">
      <c r="B52" s="4">
        <v>29</v>
      </c>
      <c r="C52" s="85" t="s">
        <v>141</v>
      </c>
      <c r="D52" s="87" t="s">
        <v>142</v>
      </c>
      <c r="E52" s="87" t="s">
        <v>212</v>
      </c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>
        <v>1</v>
      </c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6"/>
      <c r="DT52" s="37">
        <f t="shared" ref="DT52" si="28">SUM(F52:DR52)</f>
        <v>1</v>
      </c>
    </row>
    <row r="53" spans="2:124" s="5" customFormat="1" ht="14.45" hidden="1" x14ac:dyDescent="0.3">
      <c r="B53" s="4">
        <v>29</v>
      </c>
      <c r="C53" s="85" t="s">
        <v>141</v>
      </c>
      <c r="D53" s="87" t="s">
        <v>142</v>
      </c>
      <c r="E53" s="87" t="s">
        <v>212</v>
      </c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>
        <v>1</v>
      </c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6"/>
      <c r="DT53" s="37">
        <f t="shared" ref="DT53" si="29">SUM(F53:DR53)</f>
        <v>1</v>
      </c>
    </row>
    <row r="54" spans="2:124" s="5" customFormat="1" ht="14.45" hidden="1" x14ac:dyDescent="0.3">
      <c r="B54" s="4">
        <v>29</v>
      </c>
      <c r="C54" s="85" t="s">
        <v>141</v>
      </c>
      <c r="D54" s="87" t="s">
        <v>142</v>
      </c>
      <c r="E54" s="87" t="s">
        <v>212</v>
      </c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>
        <v>1</v>
      </c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6"/>
      <c r="DT54" s="37">
        <f t="shared" ref="DT54" si="30">SUM(F54:DR54)</f>
        <v>1</v>
      </c>
    </row>
    <row r="55" spans="2:124" s="5" customFormat="1" ht="14.45" hidden="1" x14ac:dyDescent="0.3">
      <c r="B55" s="4">
        <v>29</v>
      </c>
      <c r="C55" s="85" t="s">
        <v>141</v>
      </c>
      <c r="D55" s="87" t="s">
        <v>142</v>
      </c>
      <c r="E55" s="87" t="s">
        <v>212</v>
      </c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>
        <v>1</v>
      </c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6"/>
      <c r="DT55" s="37">
        <f t="shared" ref="DT55" si="31">SUM(F55:DR55)</f>
        <v>1</v>
      </c>
    </row>
    <row r="56" spans="2:124" s="5" customFormat="1" ht="14.45" hidden="1" x14ac:dyDescent="0.3">
      <c r="B56" s="4">
        <v>29</v>
      </c>
      <c r="C56" s="85" t="s">
        <v>141</v>
      </c>
      <c r="D56" s="87" t="s">
        <v>142</v>
      </c>
      <c r="E56" s="87" t="s">
        <v>212</v>
      </c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>
        <v>1</v>
      </c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6"/>
      <c r="DT56" s="37">
        <f t="shared" ref="DT56" si="32">SUM(F56:DR56)</f>
        <v>1</v>
      </c>
    </row>
    <row r="57" spans="2:124" s="5" customFormat="1" ht="14.45" hidden="1" x14ac:dyDescent="0.3">
      <c r="B57" s="4">
        <v>29</v>
      </c>
      <c r="C57" s="85" t="s">
        <v>141</v>
      </c>
      <c r="D57" s="87" t="s">
        <v>142</v>
      </c>
      <c r="E57" s="87" t="s">
        <v>212</v>
      </c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>
        <v>1</v>
      </c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6"/>
      <c r="DT57" s="37">
        <f t="shared" ref="DT57" si="33">SUM(F57:DR57)</f>
        <v>1</v>
      </c>
    </row>
    <row r="58" spans="2:124" s="5" customFormat="1" ht="14.45" hidden="1" x14ac:dyDescent="0.3">
      <c r="B58" s="4">
        <v>29</v>
      </c>
      <c r="C58" s="85" t="s">
        <v>141</v>
      </c>
      <c r="D58" s="87" t="s">
        <v>142</v>
      </c>
      <c r="E58" s="87" t="s">
        <v>212</v>
      </c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>
        <v>1</v>
      </c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6"/>
      <c r="DT58" s="37">
        <f t="shared" ref="DT58" si="34">SUM(F58:DR58)</f>
        <v>1</v>
      </c>
    </row>
    <row r="59" spans="2:124" s="5" customFormat="1" ht="14.45" hidden="1" x14ac:dyDescent="0.3">
      <c r="B59" s="4">
        <v>29</v>
      </c>
      <c r="C59" s="85" t="s">
        <v>141</v>
      </c>
      <c r="D59" s="87" t="s">
        <v>142</v>
      </c>
      <c r="E59" s="87" t="s">
        <v>212</v>
      </c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>
        <v>1</v>
      </c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6"/>
      <c r="DT59" s="37">
        <f t="shared" ref="DT59" si="35">SUM(F59:DR59)</f>
        <v>1</v>
      </c>
    </row>
    <row r="60" spans="2:124" s="5" customFormat="1" ht="14.45" hidden="1" x14ac:dyDescent="0.3">
      <c r="B60" s="4">
        <v>29</v>
      </c>
      <c r="C60" s="85" t="s">
        <v>141</v>
      </c>
      <c r="D60" s="87" t="s">
        <v>142</v>
      </c>
      <c r="E60" s="87" t="s">
        <v>212</v>
      </c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>
        <v>1</v>
      </c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6"/>
      <c r="DT60" s="37">
        <f t="shared" ref="DT60" si="36">SUM(F60:DR60)</f>
        <v>1</v>
      </c>
    </row>
    <row r="61" spans="2:124" s="5" customFormat="1" ht="14.45" hidden="1" x14ac:dyDescent="0.3">
      <c r="B61" s="4">
        <v>29</v>
      </c>
      <c r="C61" s="85" t="s">
        <v>141</v>
      </c>
      <c r="D61" s="87" t="s">
        <v>142</v>
      </c>
      <c r="E61" s="87" t="s">
        <v>212</v>
      </c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>
        <v>1</v>
      </c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6"/>
      <c r="DT61" s="37">
        <f t="shared" ref="DT61" si="37">SUM(F61:DR61)</f>
        <v>1</v>
      </c>
    </row>
    <row r="62" spans="2:124" s="5" customFormat="1" ht="14.45" hidden="1" x14ac:dyDescent="0.3">
      <c r="B62" s="4">
        <v>29</v>
      </c>
      <c r="C62" s="85" t="s">
        <v>141</v>
      </c>
      <c r="D62" s="87" t="s">
        <v>142</v>
      </c>
      <c r="E62" s="87" t="s">
        <v>212</v>
      </c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>
        <v>1</v>
      </c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6"/>
      <c r="DT62" s="37">
        <f t="shared" ref="DT62" si="38">SUM(F62:DR62)</f>
        <v>1</v>
      </c>
    </row>
    <row r="63" spans="2:124" s="5" customFormat="1" ht="14.45" hidden="1" x14ac:dyDescent="0.3">
      <c r="B63" s="4">
        <v>29</v>
      </c>
      <c r="C63" s="85" t="s">
        <v>141</v>
      </c>
      <c r="D63" s="87" t="s">
        <v>142</v>
      </c>
      <c r="E63" s="87" t="s">
        <v>212</v>
      </c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>
        <v>1</v>
      </c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6"/>
      <c r="DT63" s="37">
        <f t="shared" ref="DT63" si="39">SUM(F63:DR63)</f>
        <v>1</v>
      </c>
    </row>
    <row r="64" spans="2:124" s="5" customFormat="1" ht="14.45" hidden="1" x14ac:dyDescent="0.3">
      <c r="B64" s="4">
        <v>29</v>
      </c>
      <c r="C64" s="85" t="s">
        <v>141</v>
      </c>
      <c r="D64" s="87" t="s">
        <v>142</v>
      </c>
      <c r="E64" s="87" t="s">
        <v>212</v>
      </c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>
        <v>1</v>
      </c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6"/>
      <c r="DT64" s="37">
        <f t="shared" ref="DT64" si="40">SUM(F64:DR64)</f>
        <v>1</v>
      </c>
    </row>
    <row r="65" spans="2:124" s="5" customFormat="1" ht="14.45" hidden="1" x14ac:dyDescent="0.3">
      <c r="B65" s="4">
        <v>29</v>
      </c>
      <c r="C65" s="85" t="s">
        <v>141</v>
      </c>
      <c r="D65" s="87" t="s">
        <v>142</v>
      </c>
      <c r="E65" s="87" t="s">
        <v>212</v>
      </c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>
        <v>1</v>
      </c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6"/>
      <c r="DT65" s="37">
        <f t="shared" ref="DT65" si="41">SUM(F65:DR65)</f>
        <v>1</v>
      </c>
    </row>
    <row r="66" spans="2:124" s="5" customFormat="1" ht="14.45" hidden="1" x14ac:dyDescent="0.3">
      <c r="B66" s="4">
        <v>29</v>
      </c>
      <c r="C66" s="85" t="s">
        <v>141</v>
      </c>
      <c r="D66" s="87" t="s">
        <v>142</v>
      </c>
      <c r="E66" s="87" t="s">
        <v>212</v>
      </c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>
        <v>1</v>
      </c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6"/>
      <c r="DT66" s="37">
        <f t="shared" ref="DT66" si="42">SUM(F66:DR66)</f>
        <v>1</v>
      </c>
    </row>
    <row r="67" spans="2:124" s="5" customFormat="1" ht="14.45" hidden="1" x14ac:dyDescent="0.3">
      <c r="B67" s="4">
        <v>29</v>
      </c>
      <c r="C67" s="85" t="s">
        <v>141</v>
      </c>
      <c r="D67" s="87" t="s">
        <v>142</v>
      </c>
      <c r="E67" s="87" t="s">
        <v>212</v>
      </c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>
        <v>1</v>
      </c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6"/>
      <c r="DT67" s="37">
        <f t="shared" ref="DT67" si="43">SUM(F67:DR67)</f>
        <v>1</v>
      </c>
    </row>
    <row r="68" spans="2:124" s="5" customFormat="1" ht="14.45" hidden="1" x14ac:dyDescent="0.3">
      <c r="B68" s="4">
        <v>29</v>
      </c>
      <c r="C68" s="85" t="s">
        <v>141</v>
      </c>
      <c r="D68" s="87" t="s">
        <v>142</v>
      </c>
      <c r="E68" s="87" t="s">
        <v>212</v>
      </c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>
        <v>1</v>
      </c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6"/>
      <c r="DT68" s="37">
        <f t="shared" ref="DT68" si="44">SUM(F68:DR68)</f>
        <v>1</v>
      </c>
    </row>
    <row r="69" spans="2:124" s="5" customFormat="1" ht="14.45" hidden="1" x14ac:dyDescent="0.3">
      <c r="B69" s="4">
        <v>29</v>
      </c>
      <c r="C69" s="85" t="s">
        <v>141</v>
      </c>
      <c r="D69" s="87" t="s">
        <v>142</v>
      </c>
      <c r="E69" s="87" t="s">
        <v>212</v>
      </c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>
        <v>1</v>
      </c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6"/>
      <c r="DT69" s="37">
        <f t="shared" ref="DT69" si="45">SUM(F69:DR69)</f>
        <v>1</v>
      </c>
    </row>
    <row r="70" spans="2:124" s="5" customFormat="1" ht="14.45" hidden="1" x14ac:dyDescent="0.3">
      <c r="B70" s="4">
        <v>29</v>
      </c>
      <c r="C70" s="85" t="s">
        <v>141</v>
      </c>
      <c r="D70" s="87" t="s">
        <v>142</v>
      </c>
      <c r="E70" s="87" t="s">
        <v>212</v>
      </c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>
        <v>1</v>
      </c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6"/>
      <c r="DT70" s="37">
        <f t="shared" ref="DT70" si="46">SUM(F70:DR70)</f>
        <v>1</v>
      </c>
    </row>
    <row r="71" spans="2:124" s="5" customFormat="1" ht="14.45" hidden="1" x14ac:dyDescent="0.3">
      <c r="B71" s="4">
        <v>29</v>
      </c>
      <c r="C71" s="85" t="s">
        <v>141</v>
      </c>
      <c r="D71" s="87" t="s">
        <v>142</v>
      </c>
      <c r="E71" s="87" t="s">
        <v>212</v>
      </c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>
        <v>1</v>
      </c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6"/>
      <c r="DT71" s="37">
        <f t="shared" ref="DT71" si="47">SUM(F71:DR71)</f>
        <v>1</v>
      </c>
    </row>
    <row r="72" spans="2:124" s="5" customFormat="1" ht="14.45" hidden="1" x14ac:dyDescent="0.3">
      <c r="B72" s="4">
        <v>29</v>
      </c>
      <c r="C72" s="85" t="s">
        <v>141</v>
      </c>
      <c r="D72" s="87" t="s">
        <v>142</v>
      </c>
      <c r="E72" s="87" t="s">
        <v>212</v>
      </c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>
        <v>1</v>
      </c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6"/>
      <c r="DT72" s="37">
        <f t="shared" ref="DT72" si="48">SUM(F72:DR72)</f>
        <v>1</v>
      </c>
    </row>
    <row r="73" spans="2:124" s="5" customFormat="1" ht="14.45" hidden="1" x14ac:dyDescent="0.3">
      <c r="B73" s="4">
        <v>29</v>
      </c>
      <c r="C73" s="85" t="s">
        <v>141</v>
      </c>
      <c r="D73" s="87" t="s">
        <v>142</v>
      </c>
      <c r="E73" s="87" t="s">
        <v>212</v>
      </c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>
        <v>1</v>
      </c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6"/>
      <c r="DT73" s="37">
        <f t="shared" ref="DT73" si="49">SUM(F73:DR73)</f>
        <v>1</v>
      </c>
    </row>
    <row r="74" spans="2:124" s="5" customFormat="1" ht="14.45" hidden="1" x14ac:dyDescent="0.3">
      <c r="B74" s="4">
        <v>29</v>
      </c>
      <c r="C74" s="85" t="s">
        <v>141</v>
      </c>
      <c r="D74" s="87" t="s">
        <v>142</v>
      </c>
      <c r="E74" s="87" t="s">
        <v>212</v>
      </c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>
        <v>1</v>
      </c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6"/>
      <c r="DT74" s="37">
        <f t="shared" ref="DT74" si="50">SUM(F74:DR74)</f>
        <v>1</v>
      </c>
    </row>
    <row r="75" spans="2:124" s="5" customFormat="1" ht="14.45" hidden="1" x14ac:dyDescent="0.3">
      <c r="B75" s="4">
        <v>29</v>
      </c>
      <c r="C75" s="85" t="s">
        <v>141</v>
      </c>
      <c r="D75" s="87" t="s">
        <v>142</v>
      </c>
      <c r="E75" s="87" t="s">
        <v>212</v>
      </c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>
        <v>1</v>
      </c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6"/>
      <c r="DT75" s="37">
        <f t="shared" ref="DT75" si="51">SUM(F75:DR75)</f>
        <v>1</v>
      </c>
    </row>
    <row r="76" spans="2:124" s="5" customFormat="1" ht="14.45" hidden="1" x14ac:dyDescent="0.3">
      <c r="B76" s="4">
        <v>29</v>
      </c>
      <c r="C76" s="85" t="s">
        <v>141</v>
      </c>
      <c r="D76" s="87" t="s">
        <v>142</v>
      </c>
      <c r="E76" s="87" t="s">
        <v>212</v>
      </c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>
        <v>1</v>
      </c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6"/>
      <c r="DT76" s="37">
        <f t="shared" ref="DT76" si="52">SUM(F76:DR76)</f>
        <v>1</v>
      </c>
    </row>
    <row r="77" spans="2:124" s="5" customFormat="1" ht="14.45" hidden="1" x14ac:dyDescent="0.3">
      <c r="B77" s="4">
        <v>29</v>
      </c>
      <c r="C77" s="85" t="s">
        <v>141</v>
      </c>
      <c r="D77" s="87" t="s">
        <v>142</v>
      </c>
      <c r="E77" s="87" t="s">
        <v>212</v>
      </c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>
        <v>1</v>
      </c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6"/>
      <c r="DT77" s="37">
        <f t="shared" ref="DT77" si="53">SUM(F77:DR77)</f>
        <v>1</v>
      </c>
    </row>
    <row r="78" spans="2:124" s="5" customFormat="1" ht="14.45" hidden="1" x14ac:dyDescent="0.3">
      <c r="B78" s="4">
        <v>29</v>
      </c>
      <c r="C78" s="85" t="s">
        <v>141</v>
      </c>
      <c r="D78" s="87" t="s">
        <v>142</v>
      </c>
      <c r="E78" s="87" t="s">
        <v>212</v>
      </c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>
        <v>1</v>
      </c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6"/>
      <c r="DT78" s="37">
        <f t="shared" ref="DT78" si="54">SUM(F78:DR78)</f>
        <v>1</v>
      </c>
    </row>
    <row r="79" spans="2:124" s="5" customFormat="1" ht="14.45" hidden="1" x14ac:dyDescent="0.3">
      <c r="B79" s="4">
        <v>29</v>
      </c>
      <c r="C79" s="85" t="s">
        <v>141</v>
      </c>
      <c r="D79" s="87" t="s">
        <v>142</v>
      </c>
      <c r="E79" s="87" t="s">
        <v>212</v>
      </c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>
        <v>1</v>
      </c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6"/>
      <c r="DT79" s="37">
        <f t="shared" ref="DT79" si="55">SUM(F79:DR79)</f>
        <v>1</v>
      </c>
    </row>
    <row r="80" spans="2:124" s="5" customFormat="1" ht="14.45" hidden="1" x14ac:dyDescent="0.3">
      <c r="B80" s="4">
        <v>29</v>
      </c>
      <c r="C80" s="85" t="s">
        <v>141</v>
      </c>
      <c r="D80" s="87" t="s">
        <v>142</v>
      </c>
      <c r="E80" s="87" t="s">
        <v>212</v>
      </c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>
        <v>1</v>
      </c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6"/>
      <c r="DT80" s="37">
        <f t="shared" ref="DT80" si="56">SUM(F80:DR80)</f>
        <v>1</v>
      </c>
    </row>
    <row r="81" spans="2:124" s="5" customFormat="1" ht="14.45" hidden="1" x14ac:dyDescent="0.3">
      <c r="B81" s="4">
        <v>29</v>
      </c>
      <c r="C81" s="85" t="s">
        <v>141</v>
      </c>
      <c r="D81" s="87" t="s">
        <v>142</v>
      </c>
      <c r="E81" s="87" t="s">
        <v>212</v>
      </c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>
        <v>1</v>
      </c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6"/>
      <c r="DT81" s="37">
        <f t="shared" ref="DT81" si="57">SUM(F81:DR81)</f>
        <v>1</v>
      </c>
    </row>
    <row r="82" spans="2:124" s="5" customFormat="1" ht="14.45" hidden="1" x14ac:dyDescent="0.3">
      <c r="B82" s="4">
        <v>29</v>
      </c>
      <c r="C82" s="85" t="s">
        <v>141</v>
      </c>
      <c r="D82" s="87" t="s">
        <v>142</v>
      </c>
      <c r="E82" s="87" t="s">
        <v>212</v>
      </c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>
        <v>1</v>
      </c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6"/>
      <c r="DT82" s="37">
        <f t="shared" ref="DT82" si="58">SUM(F82:DR82)</f>
        <v>1</v>
      </c>
    </row>
    <row r="83" spans="2:124" s="5" customFormat="1" ht="14.45" hidden="1" x14ac:dyDescent="0.3">
      <c r="B83" s="4">
        <v>29</v>
      </c>
      <c r="C83" s="85" t="s">
        <v>141</v>
      </c>
      <c r="D83" s="87" t="s">
        <v>142</v>
      </c>
      <c r="E83" s="87" t="s">
        <v>212</v>
      </c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>
        <v>1</v>
      </c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6"/>
      <c r="DT83" s="37">
        <f t="shared" ref="DT83" si="59">SUM(F83:DR83)</f>
        <v>1</v>
      </c>
    </row>
    <row r="84" spans="2:124" s="5" customFormat="1" ht="14.45" hidden="1" x14ac:dyDescent="0.3">
      <c r="B84" s="4">
        <v>29</v>
      </c>
      <c r="C84" s="85" t="s">
        <v>141</v>
      </c>
      <c r="D84" s="87" t="s">
        <v>142</v>
      </c>
      <c r="E84" s="87" t="s">
        <v>212</v>
      </c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>
        <v>1</v>
      </c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6"/>
      <c r="DT84" s="37">
        <f t="shared" ref="DT84" si="60">SUM(F84:DR84)</f>
        <v>1</v>
      </c>
    </row>
    <row r="85" spans="2:124" s="5" customFormat="1" ht="14.45" hidden="1" x14ac:dyDescent="0.3">
      <c r="B85" s="4">
        <v>29</v>
      </c>
      <c r="C85" s="85" t="s">
        <v>141</v>
      </c>
      <c r="D85" s="87" t="s">
        <v>142</v>
      </c>
      <c r="E85" s="87" t="s">
        <v>212</v>
      </c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>
        <v>1</v>
      </c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6"/>
      <c r="DT85" s="37">
        <f t="shared" ref="DT85" si="61">SUM(F85:DR85)</f>
        <v>1</v>
      </c>
    </row>
    <row r="86" spans="2:124" s="5" customFormat="1" ht="14.45" hidden="1" x14ac:dyDescent="0.3">
      <c r="B86" s="4">
        <v>29</v>
      </c>
      <c r="C86" s="85" t="s">
        <v>141</v>
      </c>
      <c r="D86" s="87" t="s">
        <v>142</v>
      </c>
      <c r="E86" s="87" t="s">
        <v>212</v>
      </c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>
        <v>1</v>
      </c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6"/>
      <c r="DT86" s="37">
        <f t="shared" ref="DT86" si="62">SUM(F86:DR86)</f>
        <v>1</v>
      </c>
    </row>
    <row r="87" spans="2:124" s="5" customFormat="1" ht="14.45" hidden="1" x14ac:dyDescent="0.3">
      <c r="B87" s="4">
        <v>29</v>
      </c>
      <c r="C87" s="85" t="s">
        <v>141</v>
      </c>
      <c r="D87" s="87" t="s">
        <v>142</v>
      </c>
      <c r="E87" s="87" t="s">
        <v>212</v>
      </c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>
        <v>1</v>
      </c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6"/>
      <c r="DT87" s="37">
        <f t="shared" ref="DT87" si="63">SUM(F87:DR87)</f>
        <v>1</v>
      </c>
    </row>
    <row r="88" spans="2:124" s="5" customFormat="1" ht="14.45" hidden="1" x14ac:dyDescent="0.3">
      <c r="B88" s="4">
        <v>29</v>
      </c>
      <c r="C88" s="85" t="s">
        <v>141</v>
      </c>
      <c r="D88" s="87" t="s">
        <v>142</v>
      </c>
      <c r="E88" s="87" t="s">
        <v>212</v>
      </c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>
        <v>1</v>
      </c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6"/>
      <c r="DT88" s="37">
        <f t="shared" ref="DT88" si="64">SUM(F88:DR88)</f>
        <v>1</v>
      </c>
    </row>
    <row r="89" spans="2:124" s="5" customFormat="1" ht="14.45" hidden="1" x14ac:dyDescent="0.3">
      <c r="B89" s="4">
        <v>29</v>
      </c>
      <c r="C89" s="85" t="s">
        <v>141</v>
      </c>
      <c r="D89" s="87" t="s">
        <v>142</v>
      </c>
      <c r="E89" s="87" t="s">
        <v>212</v>
      </c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>
        <v>1</v>
      </c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6"/>
      <c r="DT89" s="37">
        <f t="shared" ref="DT89" si="65">SUM(F89:DR89)</f>
        <v>1</v>
      </c>
    </row>
    <row r="90" spans="2:124" s="5" customFormat="1" ht="14.45" hidden="1" x14ac:dyDescent="0.3">
      <c r="B90" s="4">
        <v>29</v>
      </c>
      <c r="C90" s="85" t="s">
        <v>141</v>
      </c>
      <c r="D90" s="87" t="s">
        <v>142</v>
      </c>
      <c r="E90" s="87" t="s">
        <v>212</v>
      </c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>
        <v>1</v>
      </c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6"/>
      <c r="DT90" s="37">
        <f t="shared" ref="DT90" si="66">SUM(F90:DR90)</f>
        <v>1</v>
      </c>
    </row>
    <row r="91" spans="2:124" s="5" customFormat="1" ht="14.45" hidden="1" x14ac:dyDescent="0.3">
      <c r="B91" s="4">
        <v>29</v>
      </c>
      <c r="C91" s="85" t="s">
        <v>141</v>
      </c>
      <c r="D91" s="87" t="s">
        <v>142</v>
      </c>
      <c r="E91" s="87" t="s">
        <v>212</v>
      </c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>
        <v>1</v>
      </c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6"/>
      <c r="DT91" s="37">
        <f t="shared" ref="DT91" si="67">SUM(F91:DR91)</f>
        <v>1</v>
      </c>
    </row>
    <row r="92" spans="2:124" s="5" customFormat="1" x14ac:dyDescent="0.3">
      <c r="B92" s="4">
        <v>30</v>
      </c>
      <c r="C92" s="85" t="s">
        <v>143</v>
      </c>
      <c r="D92" s="87" t="s">
        <v>215</v>
      </c>
      <c r="E92" s="87" t="s">
        <v>212</v>
      </c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>
        <v>0.5</v>
      </c>
      <c r="BU92" s="34"/>
      <c r="BV92" s="34">
        <v>0.1</v>
      </c>
      <c r="BW92" s="34"/>
      <c r="BX92" s="34"/>
      <c r="BY92" s="34"/>
      <c r="BZ92" s="34"/>
      <c r="CA92" s="34"/>
      <c r="CB92" s="82"/>
      <c r="CC92" s="82"/>
      <c r="CD92" s="82"/>
      <c r="CE92" s="82"/>
      <c r="CF92" s="82"/>
      <c r="CG92" s="82"/>
      <c r="CH92" s="82"/>
      <c r="CI92" s="82"/>
      <c r="CJ92" s="82"/>
      <c r="CK92" s="82">
        <v>0.1</v>
      </c>
      <c r="CL92" s="82">
        <v>0.1</v>
      </c>
      <c r="CM92" s="82"/>
      <c r="CN92" s="82"/>
      <c r="CO92" s="82"/>
      <c r="CP92" s="82"/>
      <c r="CQ92" s="82"/>
      <c r="CR92" s="82"/>
      <c r="CS92" s="82"/>
      <c r="CT92" s="82"/>
      <c r="CU92" s="82">
        <v>0.1</v>
      </c>
      <c r="CV92" s="82"/>
      <c r="CW92" s="82"/>
      <c r="CX92" s="82"/>
      <c r="CY92" s="82"/>
      <c r="CZ92" s="82"/>
      <c r="DA92" s="82"/>
      <c r="DB92" s="82"/>
      <c r="DC92" s="82"/>
      <c r="DD92" s="82"/>
      <c r="DE92" s="82"/>
      <c r="DF92" s="82"/>
      <c r="DG92" s="82"/>
      <c r="DH92" s="82"/>
      <c r="DI92" s="82"/>
      <c r="DJ92" s="82">
        <v>0.1</v>
      </c>
      <c r="DK92" s="82"/>
      <c r="DL92" s="82"/>
      <c r="DM92" s="82"/>
      <c r="DN92" s="82"/>
      <c r="DO92" s="82"/>
      <c r="DP92" s="82"/>
      <c r="DQ92" s="82"/>
      <c r="DR92" s="82"/>
      <c r="DS92" s="36"/>
      <c r="DT92" s="37">
        <f t="shared" ref="DT92:DT93" si="68">SUM(BJ92:DN92)</f>
        <v>0.99999999999999989</v>
      </c>
    </row>
    <row r="93" spans="2:124" x14ac:dyDescent="0.3">
      <c r="B93" s="4">
        <v>31</v>
      </c>
      <c r="C93" s="85" t="s">
        <v>144</v>
      </c>
      <c r="D93" s="87" t="s">
        <v>119</v>
      </c>
      <c r="E93" s="87" t="s">
        <v>212</v>
      </c>
      <c r="BJ93" s="83"/>
      <c r="BK93" s="83"/>
      <c r="BL93" s="83"/>
      <c r="BM93" s="83"/>
      <c r="BN93" s="83"/>
      <c r="BO93" s="83"/>
      <c r="BP93" s="83"/>
      <c r="BQ93" s="83"/>
      <c r="BR93" s="83"/>
      <c r="BS93" s="83"/>
      <c r="BT93" s="83"/>
      <c r="BU93" s="83"/>
      <c r="BV93" s="83"/>
      <c r="BW93" s="83"/>
      <c r="BX93" s="83"/>
      <c r="BY93" s="83"/>
      <c r="BZ93" s="83"/>
      <c r="CB93" s="83"/>
      <c r="CC93" s="83"/>
      <c r="CD93" s="83"/>
      <c r="CE93" s="83"/>
      <c r="CF93" s="83"/>
      <c r="CG93" s="83"/>
      <c r="CH93" s="83"/>
      <c r="CI93" s="83"/>
      <c r="CJ93" s="83"/>
      <c r="CK93" s="83"/>
      <c r="CL93" s="83"/>
      <c r="CM93" s="83"/>
      <c r="CN93" s="83"/>
      <c r="CO93" s="83"/>
      <c r="CP93" s="83"/>
      <c r="CQ93" s="83"/>
      <c r="CR93" s="83"/>
      <c r="CS93" s="83"/>
      <c r="CT93" s="83"/>
      <c r="CU93" s="83"/>
      <c r="CV93" s="83"/>
      <c r="CW93" s="83"/>
      <c r="CX93" s="83"/>
      <c r="CY93" s="83"/>
      <c r="CZ93" s="83"/>
      <c r="DA93" s="83"/>
      <c r="DB93" s="83"/>
      <c r="DC93" s="83"/>
      <c r="DD93" s="83"/>
      <c r="DE93" s="83"/>
      <c r="DF93" s="83"/>
      <c r="DG93" s="83"/>
      <c r="DH93" s="83"/>
      <c r="DI93" s="83"/>
      <c r="DJ93" s="93">
        <v>0.2</v>
      </c>
      <c r="DK93" s="93">
        <v>0.2</v>
      </c>
      <c r="DL93" s="93">
        <v>0.2</v>
      </c>
      <c r="DM93" s="93">
        <v>0.2</v>
      </c>
      <c r="DN93" s="93">
        <v>0.2</v>
      </c>
      <c r="DO93" s="83"/>
      <c r="DP93" s="83"/>
      <c r="DQ93" s="83"/>
      <c r="DR93" s="83"/>
      <c r="DS93" s="83"/>
      <c r="DT93" s="37">
        <f t="shared" si="68"/>
        <v>1</v>
      </c>
    </row>
    <row r="94" spans="2:124" hidden="1" x14ac:dyDescent="0.3">
      <c r="B94" s="4">
        <v>32</v>
      </c>
      <c r="C94" s="85" t="s">
        <v>145</v>
      </c>
      <c r="D94" s="87" t="s">
        <v>146</v>
      </c>
      <c r="E94" s="87" t="s">
        <v>212</v>
      </c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91">
        <v>1</v>
      </c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94"/>
      <c r="DK94" s="94"/>
      <c r="DL94" s="94"/>
      <c r="DM94" s="94"/>
      <c r="DN94" s="94"/>
      <c r="DO94" s="4"/>
      <c r="DP94" s="4"/>
      <c r="DQ94" s="4"/>
      <c r="DR94" s="4"/>
      <c r="DS94" s="4"/>
      <c r="DT94" s="92">
        <v>1</v>
      </c>
    </row>
    <row r="95" spans="2:124" hidden="1" x14ac:dyDescent="0.3">
      <c r="B95" s="4">
        <v>33</v>
      </c>
      <c r="C95" s="85" t="s">
        <v>147</v>
      </c>
      <c r="D95" s="87" t="s">
        <v>148</v>
      </c>
      <c r="E95" s="87" t="s">
        <v>212</v>
      </c>
      <c r="BJ95" s="4"/>
      <c r="BK95" s="4"/>
      <c r="BL95" s="91">
        <v>0.5</v>
      </c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91">
        <v>0.5</v>
      </c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92">
        <v>1</v>
      </c>
    </row>
    <row r="96" spans="2:124" hidden="1" x14ac:dyDescent="0.3">
      <c r="B96" s="4">
        <v>34</v>
      </c>
      <c r="C96" s="85" t="s">
        <v>149</v>
      </c>
      <c r="D96" s="87" t="s">
        <v>120</v>
      </c>
      <c r="E96" s="87" t="s">
        <v>212</v>
      </c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34">
        <v>0.1</v>
      </c>
      <c r="DK96" s="34">
        <v>0.1</v>
      </c>
      <c r="DL96" s="34">
        <v>0.1</v>
      </c>
      <c r="DM96" s="34">
        <v>0.4</v>
      </c>
      <c r="DN96" s="34">
        <v>0.2</v>
      </c>
      <c r="DO96" s="4"/>
      <c r="DP96" s="4"/>
      <c r="DQ96" s="4"/>
      <c r="DR96" s="4"/>
      <c r="DS96" s="4"/>
      <c r="DT96" s="92">
        <v>1</v>
      </c>
    </row>
    <row r="97" spans="2:124" hidden="1" x14ac:dyDescent="0.3">
      <c r="B97" s="4">
        <v>35</v>
      </c>
      <c r="C97" s="85" t="s">
        <v>150</v>
      </c>
      <c r="D97" s="87" t="s">
        <v>151</v>
      </c>
      <c r="E97" s="87" t="s">
        <v>212</v>
      </c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95">
        <v>1</v>
      </c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37">
        <f t="shared" ref="DT97" si="69">SUM(F97:DR97)</f>
        <v>1</v>
      </c>
    </row>
    <row r="98" spans="2:124" hidden="1" x14ac:dyDescent="0.3">
      <c r="B98" s="4">
        <v>36</v>
      </c>
      <c r="C98" s="85" t="s">
        <v>152</v>
      </c>
      <c r="D98" s="87" t="s">
        <v>153</v>
      </c>
      <c r="E98" s="87" t="s">
        <v>212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96">
        <v>1</v>
      </c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92">
        <v>1</v>
      </c>
    </row>
    <row r="99" spans="2:124" x14ac:dyDescent="0.3">
      <c r="B99" s="4">
        <v>37</v>
      </c>
      <c r="C99" s="85" t="s">
        <v>154</v>
      </c>
      <c r="D99" s="87" t="s">
        <v>119</v>
      </c>
      <c r="E99" s="87" t="s">
        <v>212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93">
        <v>0.2</v>
      </c>
      <c r="DK99" s="93">
        <v>0.2</v>
      </c>
      <c r="DL99" s="93">
        <v>0.2</v>
      </c>
      <c r="DM99" s="93">
        <v>0.2</v>
      </c>
      <c r="DN99" s="93">
        <v>0.2</v>
      </c>
      <c r="DO99" s="4"/>
      <c r="DP99" s="4"/>
      <c r="DQ99" s="4"/>
      <c r="DR99" s="4"/>
      <c r="DS99" s="4"/>
      <c r="DT99" s="37">
        <f>SUM(BJ99:DN99)</f>
        <v>1</v>
      </c>
    </row>
    <row r="100" spans="2:124" hidden="1" x14ac:dyDescent="0.3">
      <c r="B100" s="4">
        <v>38</v>
      </c>
      <c r="C100" s="85" t="s">
        <v>155</v>
      </c>
      <c r="D100" s="87" t="s">
        <v>156</v>
      </c>
      <c r="E100" s="87" t="s">
        <v>212</v>
      </c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95">
        <v>1</v>
      </c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37">
        <f t="shared" ref="DT100" si="70">SUM(F100:DR100)</f>
        <v>1</v>
      </c>
    </row>
    <row r="101" spans="2:124" hidden="1" x14ac:dyDescent="0.3">
      <c r="B101" s="4">
        <v>39</v>
      </c>
      <c r="C101" s="85" t="s">
        <v>157</v>
      </c>
      <c r="D101" s="87" t="s">
        <v>158</v>
      </c>
      <c r="E101" s="87" t="s">
        <v>212</v>
      </c>
      <c r="BJ101" s="90"/>
      <c r="BK101" s="4"/>
      <c r="BL101" s="95">
        <v>1</v>
      </c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92">
        <v>1</v>
      </c>
    </row>
    <row r="102" spans="2:124" hidden="1" x14ac:dyDescent="0.3">
      <c r="B102" s="4">
        <v>40</v>
      </c>
      <c r="C102" s="85" t="s">
        <v>159</v>
      </c>
      <c r="D102" s="87" t="s">
        <v>160</v>
      </c>
      <c r="E102" s="87" t="s">
        <v>212</v>
      </c>
      <c r="BJ102" s="4"/>
      <c r="BK102" s="4"/>
      <c r="BL102" s="4"/>
      <c r="BM102" s="4"/>
      <c r="BN102" s="4"/>
      <c r="BO102" s="95">
        <v>1</v>
      </c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92">
        <v>1</v>
      </c>
    </row>
    <row r="103" spans="2:124" hidden="1" x14ac:dyDescent="0.3">
      <c r="B103" s="4">
        <v>41</v>
      </c>
      <c r="C103" s="85" t="s">
        <v>161</v>
      </c>
      <c r="D103" s="87" t="s">
        <v>162</v>
      </c>
      <c r="E103" s="87" t="s">
        <v>213</v>
      </c>
      <c r="BJ103" s="95">
        <v>0.4</v>
      </c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95">
        <v>0.1</v>
      </c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96">
        <v>0.5</v>
      </c>
    </row>
    <row r="104" spans="2:124" hidden="1" x14ac:dyDescent="0.3">
      <c r="B104" s="4">
        <v>42</v>
      </c>
      <c r="C104" s="85" t="s">
        <v>163</v>
      </c>
      <c r="D104" s="87" t="s">
        <v>164</v>
      </c>
      <c r="E104" s="87" t="s">
        <v>212</v>
      </c>
      <c r="BJ104" s="4"/>
      <c r="BK104" s="4"/>
      <c r="BL104" s="4"/>
      <c r="BM104" s="4"/>
      <c r="BN104" s="4"/>
      <c r="BO104" s="94"/>
      <c r="BP104" s="94"/>
      <c r="BQ104" s="94"/>
      <c r="BR104" s="95">
        <v>1</v>
      </c>
      <c r="BS104" s="94"/>
      <c r="BT104" s="94"/>
      <c r="BU104" s="94"/>
      <c r="BV104" s="94"/>
      <c r="BW104" s="94"/>
      <c r="BX104" s="94"/>
      <c r="BY104" s="94"/>
      <c r="BZ104" s="94"/>
      <c r="CA104" s="94"/>
      <c r="CB104" s="94"/>
      <c r="CC104" s="94"/>
      <c r="CD104" s="94"/>
      <c r="CE104" s="94"/>
      <c r="CF104" s="94"/>
      <c r="CG104" s="94"/>
      <c r="CH104" s="94"/>
      <c r="CI104" s="94"/>
      <c r="CJ104" s="94"/>
      <c r="CK104" s="94"/>
      <c r="CL104" s="94"/>
      <c r="CM104" s="94"/>
      <c r="CN104" s="94"/>
      <c r="CO104" s="94"/>
      <c r="CP104" s="94"/>
      <c r="CQ104" s="94"/>
      <c r="CR104" s="94"/>
      <c r="CS104" s="94"/>
      <c r="CT104" s="94"/>
      <c r="CU104" s="9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37">
        <f t="shared" ref="DT104" si="71">SUM(F104:DR104)</f>
        <v>1</v>
      </c>
    </row>
    <row r="105" spans="2:124" hidden="1" x14ac:dyDescent="0.3">
      <c r="B105" s="4">
        <v>43</v>
      </c>
      <c r="C105" s="85" t="s">
        <v>165</v>
      </c>
      <c r="D105" s="87" t="s">
        <v>120</v>
      </c>
      <c r="E105" s="87" t="s">
        <v>212</v>
      </c>
      <c r="BJ105" s="4"/>
      <c r="BK105" s="4"/>
      <c r="BL105" s="4"/>
      <c r="BM105" s="4"/>
      <c r="BN105" s="4"/>
      <c r="BO105" s="94"/>
      <c r="BP105" s="94"/>
      <c r="BQ105" s="94"/>
      <c r="BR105" s="94"/>
      <c r="BS105" s="94"/>
      <c r="BT105" s="94"/>
      <c r="BU105" s="94"/>
      <c r="BV105" s="94"/>
      <c r="BW105" s="94"/>
      <c r="BX105" s="94"/>
      <c r="BY105" s="94"/>
      <c r="BZ105" s="94"/>
      <c r="CA105" s="94"/>
      <c r="CB105" s="94"/>
      <c r="CC105" s="94"/>
      <c r="CD105" s="94"/>
      <c r="CE105" s="94"/>
      <c r="CF105" s="94"/>
      <c r="CG105" s="94"/>
      <c r="CH105" s="94"/>
      <c r="CI105" s="94"/>
      <c r="CJ105" s="94"/>
      <c r="CK105" s="94"/>
      <c r="CL105" s="94"/>
      <c r="CM105" s="94"/>
      <c r="CN105" s="94"/>
      <c r="CO105" s="94"/>
      <c r="CP105" s="94"/>
      <c r="CQ105" s="94"/>
      <c r="CR105" s="94"/>
      <c r="CS105" s="94"/>
      <c r="CT105" s="94"/>
      <c r="CU105" s="9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34">
        <v>0.1</v>
      </c>
      <c r="DK105" s="34">
        <v>0.1</v>
      </c>
      <c r="DL105" s="34">
        <v>0.1</v>
      </c>
      <c r="DM105" s="34">
        <v>0.4</v>
      </c>
      <c r="DN105" s="34">
        <v>0.2</v>
      </c>
      <c r="DO105" s="4"/>
      <c r="DP105" s="4"/>
      <c r="DQ105" s="4"/>
      <c r="DR105" s="4"/>
      <c r="DS105" s="4"/>
      <c r="DT105" s="92">
        <v>1</v>
      </c>
    </row>
    <row r="106" spans="2:124" hidden="1" x14ac:dyDescent="0.3">
      <c r="B106" s="4">
        <v>44</v>
      </c>
      <c r="C106" s="85" t="s">
        <v>166</v>
      </c>
      <c r="D106" s="87" t="s">
        <v>167</v>
      </c>
      <c r="E106" s="87" t="s">
        <v>212</v>
      </c>
      <c r="BJ106" s="4"/>
      <c r="BK106" s="4"/>
      <c r="BL106" s="4"/>
      <c r="BM106" s="4"/>
      <c r="BN106" s="4"/>
      <c r="BO106" s="94"/>
      <c r="BP106" s="94"/>
      <c r="BQ106" s="94"/>
      <c r="BR106" s="94"/>
      <c r="BS106" s="94"/>
      <c r="BT106" s="94"/>
      <c r="BU106" s="94"/>
      <c r="BV106" s="94"/>
      <c r="BW106" s="94"/>
      <c r="BX106" s="94"/>
      <c r="BY106" s="94"/>
      <c r="BZ106" s="94"/>
      <c r="CA106" s="94"/>
      <c r="CB106" s="94"/>
      <c r="CC106" s="94"/>
      <c r="CD106" s="94"/>
      <c r="CE106" s="94"/>
      <c r="CF106" s="94"/>
      <c r="CG106" s="95">
        <v>1</v>
      </c>
      <c r="CH106" s="94"/>
      <c r="CI106" s="94"/>
      <c r="CJ106" s="94"/>
      <c r="CK106" s="94"/>
      <c r="CL106" s="94"/>
      <c r="CM106" s="94"/>
      <c r="CN106" s="94"/>
      <c r="CO106" s="94"/>
      <c r="CP106" s="94"/>
      <c r="CQ106" s="94"/>
      <c r="CR106" s="94"/>
      <c r="CS106" s="94"/>
      <c r="CT106" s="94"/>
      <c r="CU106" s="9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92">
        <v>1</v>
      </c>
    </row>
    <row r="107" spans="2:124" hidden="1" x14ac:dyDescent="0.3">
      <c r="B107" s="4">
        <v>45</v>
      </c>
      <c r="C107" s="85" t="s">
        <v>168</v>
      </c>
      <c r="D107" s="87" t="s">
        <v>169</v>
      </c>
      <c r="E107" s="87" t="s">
        <v>212</v>
      </c>
      <c r="BJ107" s="4"/>
      <c r="BK107" s="4"/>
      <c r="BL107" s="4"/>
      <c r="BM107" s="4"/>
      <c r="BN107" s="4"/>
      <c r="BO107" s="94"/>
      <c r="BP107" s="94"/>
      <c r="BQ107" s="94"/>
      <c r="BR107" s="94"/>
      <c r="BS107" s="94"/>
      <c r="BT107" s="94"/>
      <c r="BU107" s="94"/>
      <c r="BV107" s="94"/>
      <c r="BW107" s="95">
        <v>1</v>
      </c>
      <c r="BX107" s="94"/>
      <c r="BY107" s="94"/>
      <c r="BZ107" s="94"/>
      <c r="CA107" s="94"/>
      <c r="CB107" s="94"/>
      <c r="CC107" s="94"/>
      <c r="CD107" s="94"/>
      <c r="CE107" s="94"/>
      <c r="CF107" s="94"/>
      <c r="CG107" s="94"/>
      <c r="CH107" s="94"/>
      <c r="CI107" s="94"/>
      <c r="CJ107" s="94"/>
      <c r="CK107" s="94"/>
      <c r="CL107" s="94"/>
      <c r="CM107" s="94"/>
      <c r="CN107" s="94"/>
      <c r="CO107" s="94"/>
      <c r="CP107" s="94"/>
      <c r="CQ107" s="94"/>
      <c r="CR107" s="94"/>
      <c r="CS107" s="94"/>
      <c r="CT107" s="94"/>
      <c r="CU107" s="9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37">
        <f t="shared" ref="DT107" si="72">SUM(F107:DR107)</f>
        <v>1</v>
      </c>
    </row>
    <row r="108" spans="2:124" hidden="1" x14ac:dyDescent="0.3">
      <c r="B108" s="4">
        <v>46</v>
      </c>
      <c r="C108" s="85" t="s">
        <v>170</v>
      </c>
      <c r="D108" s="87" t="s">
        <v>171</v>
      </c>
      <c r="E108" s="87" t="s">
        <v>212</v>
      </c>
      <c r="BJ108" s="4"/>
      <c r="BK108" s="4"/>
      <c r="BL108" s="4"/>
      <c r="BM108" s="4"/>
      <c r="BN108" s="4"/>
      <c r="BO108" s="94"/>
      <c r="BP108" s="94"/>
      <c r="BQ108" s="94"/>
      <c r="BR108" s="94"/>
      <c r="BS108" s="94"/>
      <c r="BT108" s="94"/>
      <c r="BU108" s="94"/>
      <c r="BV108" s="94"/>
      <c r="BW108" s="94"/>
      <c r="BX108" s="94"/>
      <c r="BY108" s="94"/>
      <c r="BZ108" s="94"/>
      <c r="CA108" s="94"/>
      <c r="CB108" s="94"/>
      <c r="CC108" s="94"/>
      <c r="CD108" s="94"/>
      <c r="CE108" s="94"/>
      <c r="CF108" s="94"/>
      <c r="CG108" s="95">
        <v>1</v>
      </c>
      <c r="CH108" s="94"/>
      <c r="CI108" s="94"/>
      <c r="CJ108" s="94"/>
      <c r="CK108" s="94"/>
      <c r="CL108" s="94"/>
      <c r="CM108" s="94"/>
      <c r="CN108" s="94"/>
      <c r="CO108" s="94"/>
      <c r="CP108" s="94"/>
      <c r="CQ108" s="94"/>
      <c r="CR108" s="94"/>
      <c r="CS108" s="94"/>
      <c r="CT108" s="94"/>
      <c r="CU108" s="9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92">
        <v>1</v>
      </c>
    </row>
    <row r="109" spans="2:124" hidden="1" x14ac:dyDescent="0.3">
      <c r="B109" s="4">
        <v>47</v>
      </c>
      <c r="C109" s="85" t="s">
        <v>172</v>
      </c>
      <c r="D109" s="87" t="s">
        <v>173</v>
      </c>
      <c r="E109" s="87" t="s">
        <v>212</v>
      </c>
      <c r="BJ109" s="4"/>
      <c r="BK109" s="4"/>
      <c r="BL109" s="4"/>
      <c r="BM109" s="4"/>
      <c r="BN109" s="4"/>
      <c r="BO109" s="95">
        <v>1</v>
      </c>
      <c r="BP109" s="94"/>
      <c r="BQ109" s="94"/>
      <c r="BR109" s="94"/>
      <c r="BS109" s="94"/>
      <c r="BT109" s="94"/>
      <c r="BU109" s="94"/>
      <c r="BV109" s="94"/>
      <c r="BW109" s="94"/>
      <c r="BX109" s="94"/>
      <c r="BY109" s="94"/>
      <c r="BZ109" s="94"/>
      <c r="CA109" s="94"/>
      <c r="CB109" s="94"/>
      <c r="CC109" s="94"/>
      <c r="CD109" s="94"/>
      <c r="CE109" s="94"/>
      <c r="CF109" s="94"/>
      <c r="CG109" s="94"/>
      <c r="CH109" s="94"/>
      <c r="CI109" s="94"/>
      <c r="CJ109" s="94"/>
      <c r="CK109" s="94"/>
      <c r="CL109" s="94"/>
      <c r="CM109" s="94"/>
      <c r="CN109" s="94"/>
      <c r="CO109" s="94"/>
      <c r="CP109" s="94"/>
      <c r="CQ109" s="94"/>
      <c r="CR109" s="94"/>
      <c r="CS109" s="94"/>
      <c r="CT109" s="94"/>
      <c r="CU109" s="9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92">
        <v>1</v>
      </c>
    </row>
    <row r="110" spans="2:124" hidden="1" x14ac:dyDescent="0.3">
      <c r="B110" s="4">
        <v>48</v>
      </c>
      <c r="C110" s="85" t="s">
        <v>174</v>
      </c>
      <c r="D110" s="87" t="s">
        <v>131</v>
      </c>
      <c r="E110" s="87" t="s">
        <v>212</v>
      </c>
      <c r="BJ110" s="4"/>
      <c r="BK110" s="4"/>
      <c r="BL110" s="4"/>
      <c r="BM110" s="4"/>
      <c r="BN110" s="4"/>
      <c r="BO110" s="94"/>
      <c r="BP110" s="94"/>
      <c r="BQ110" s="94"/>
      <c r="BR110" s="94"/>
      <c r="BS110" s="94"/>
      <c r="BT110" s="94"/>
      <c r="BU110" s="94"/>
      <c r="BV110" s="94"/>
      <c r="BW110" s="94"/>
      <c r="BX110" s="94"/>
      <c r="BY110" s="94"/>
      <c r="BZ110" s="94"/>
      <c r="CA110" s="94"/>
      <c r="CB110" s="94"/>
      <c r="CC110" s="94"/>
      <c r="CD110" s="94"/>
      <c r="CE110" s="95">
        <v>1</v>
      </c>
      <c r="CF110" s="94"/>
      <c r="CG110" s="94"/>
      <c r="CH110" s="94"/>
      <c r="CI110" s="94"/>
      <c r="CJ110" s="94"/>
      <c r="CK110" s="94"/>
      <c r="CL110" s="94"/>
      <c r="CM110" s="94"/>
      <c r="CN110" s="94"/>
      <c r="CO110" s="94"/>
      <c r="CP110" s="94"/>
      <c r="CQ110" s="94"/>
      <c r="CR110" s="94"/>
      <c r="CS110" s="94"/>
      <c r="CT110" s="94"/>
      <c r="CU110" s="9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37">
        <f t="shared" ref="DT110" si="73">SUM(F110:DR110)</f>
        <v>1</v>
      </c>
    </row>
    <row r="111" spans="2:124" x14ac:dyDescent="0.3">
      <c r="B111" s="4">
        <v>49</v>
      </c>
      <c r="C111" s="85" t="s">
        <v>175</v>
      </c>
      <c r="D111" s="87" t="s">
        <v>119</v>
      </c>
      <c r="E111" s="87" t="s">
        <v>212</v>
      </c>
      <c r="BJ111" s="4"/>
      <c r="BK111" s="4"/>
      <c r="BL111" s="4"/>
      <c r="BM111" s="4"/>
      <c r="BN111" s="4"/>
      <c r="BO111" s="94"/>
      <c r="BP111" s="94"/>
      <c r="BQ111" s="94"/>
      <c r="BR111" s="94"/>
      <c r="BS111" s="94"/>
      <c r="BT111" s="94"/>
      <c r="BU111" s="94"/>
      <c r="BV111" s="94"/>
      <c r="BW111" s="94"/>
      <c r="BX111" s="94"/>
      <c r="BY111" s="94"/>
      <c r="BZ111" s="94"/>
      <c r="CA111" s="94"/>
      <c r="CB111" s="94"/>
      <c r="CC111" s="94"/>
      <c r="CD111" s="94"/>
      <c r="CE111" s="94"/>
      <c r="CF111" s="94"/>
      <c r="CG111" s="94"/>
      <c r="CH111" s="94"/>
      <c r="CI111" s="94"/>
      <c r="CJ111" s="94"/>
      <c r="CK111" s="94"/>
      <c r="CL111" s="94"/>
      <c r="CM111" s="94"/>
      <c r="CN111" s="94"/>
      <c r="CO111" s="94"/>
      <c r="CP111" s="94"/>
      <c r="CQ111" s="94"/>
      <c r="CR111" s="94"/>
      <c r="CS111" s="94"/>
      <c r="CT111" s="94"/>
      <c r="CU111" s="9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93">
        <v>0.2</v>
      </c>
      <c r="DK111" s="93">
        <v>0.2</v>
      </c>
      <c r="DL111" s="93">
        <v>0.2</v>
      </c>
      <c r="DM111" s="93">
        <v>0.2</v>
      </c>
      <c r="DN111" s="93">
        <v>0.2</v>
      </c>
      <c r="DO111" s="4"/>
      <c r="DP111" s="4"/>
      <c r="DQ111" s="4"/>
      <c r="DR111" s="4"/>
      <c r="DS111" s="4"/>
      <c r="DT111" s="37">
        <f>SUM(BJ111:DN111)</f>
        <v>1</v>
      </c>
    </row>
    <row r="112" spans="2:124" hidden="1" x14ac:dyDescent="0.3">
      <c r="B112" s="4">
        <v>50</v>
      </c>
      <c r="C112" s="85" t="s">
        <v>176</v>
      </c>
      <c r="D112" s="87" t="s">
        <v>177</v>
      </c>
      <c r="E112" s="87" t="s">
        <v>212</v>
      </c>
      <c r="BJ112" s="4"/>
      <c r="BK112" s="4"/>
      <c r="BL112" s="4"/>
      <c r="BM112" s="4"/>
      <c r="BN112" s="4"/>
      <c r="BO112" s="94"/>
      <c r="BP112" s="94"/>
      <c r="BQ112" s="94"/>
      <c r="BR112" s="94"/>
      <c r="BS112" s="94"/>
      <c r="BT112" s="94"/>
      <c r="BU112" s="94"/>
      <c r="BV112" s="94"/>
      <c r="BW112" s="94"/>
      <c r="BX112" s="94"/>
      <c r="BY112" s="94"/>
      <c r="BZ112" s="94"/>
      <c r="CA112" s="94"/>
      <c r="CB112" s="94"/>
      <c r="CC112" s="94"/>
      <c r="CD112" s="94"/>
      <c r="CE112" s="94"/>
      <c r="CF112" s="94"/>
      <c r="CG112" s="94"/>
      <c r="CH112" s="95">
        <v>1</v>
      </c>
      <c r="CI112" s="94"/>
      <c r="CJ112" s="94"/>
      <c r="CK112" s="94"/>
      <c r="CL112" s="94"/>
      <c r="CM112" s="94"/>
      <c r="CN112" s="94"/>
      <c r="CO112" s="94"/>
      <c r="CP112" s="94"/>
      <c r="CQ112" s="94"/>
      <c r="CR112" s="94"/>
      <c r="CS112" s="94"/>
      <c r="CT112" s="94"/>
      <c r="CU112" s="9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92">
        <v>1</v>
      </c>
    </row>
    <row r="113" spans="2:124" x14ac:dyDescent="0.3">
      <c r="B113" s="4">
        <v>51</v>
      </c>
      <c r="C113" s="85" t="s">
        <v>178</v>
      </c>
      <c r="D113" s="87" t="s">
        <v>119</v>
      </c>
      <c r="E113" s="87" t="s">
        <v>212</v>
      </c>
      <c r="BJ113" s="4"/>
      <c r="BK113" s="4"/>
      <c r="BL113" s="4"/>
      <c r="BM113" s="4"/>
      <c r="BN113" s="4"/>
      <c r="BO113" s="94"/>
      <c r="BP113" s="94"/>
      <c r="BQ113" s="94"/>
      <c r="BR113" s="94"/>
      <c r="BS113" s="94"/>
      <c r="BT113" s="94"/>
      <c r="BU113" s="94"/>
      <c r="BV113" s="94"/>
      <c r="BW113" s="94"/>
      <c r="BX113" s="94"/>
      <c r="BY113" s="94"/>
      <c r="BZ113" s="94"/>
      <c r="CA113" s="94"/>
      <c r="CB113" s="94"/>
      <c r="CC113" s="94"/>
      <c r="CD113" s="94"/>
      <c r="CE113" s="94"/>
      <c r="CF113" s="94"/>
      <c r="CG113" s="94"/>
      <c r="CH113" s="94"/>
      <c r="CI113" s="94"/>
      <c r="CJ113" s="94"/>
      <c r="CK113" s="95">
        <v>0.15</v>
      </c>
      <c r="CL113" s="95">
        <v>0.15</v>
      </c>
      <c r="CM113" s="94"/>
      <c r="CN113" s="94"/>
      <c r="CO113" s="94"/>
      <c r="CP113" s="94"/>
      <c r="CQ113" s="94"/>
      <c r="CR113" s="94"/>
      <c r="CS113" s="94"/>
      <c r="CT113" s="94"/>
      <c r="CU113" s="95">
        <v>0.7</v>
      </c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37">
        <f t="shared" ref="DT113:DT118" si="74">SUM(BJ113:DN113)</f>
        <v>1</v>
      </c>
    </row>
    <row r="114" spans="2:124" x14ac:dyDescent="0.3">
      <c r="B114" s="4">
        <v>52</v>
      </c>
      <c r="C114" s="85" t="s">
        <v>179</v>
      </c>
      <c r="D114" s="87" t="s">
        <v>119</v>
      </c>
      <c r="E114" s="87" t="s">
        <v>212</v>
      </c>
      <c r="BJ114" s="4"/>
      <c r="BK114" s="4"/>
      <c r="BL114" s="4"/>
      <c r="BM114" s="4"/>
      <c r="BN114" s="4"/>
      <c r="BO114" s="94"/>
      <c r="BP114" s="94"/>
      <c r="BQ114" s="94"/>
      <c r="BR114" s="94"/>
      <c r="BS114" s="94"/>
      <c r="BT114" s="94"/>
      <c r="BU114" s="94"/>
      <c r="BV114" s="94"/>
      <c r="BW114" s="94"/>
      <c r="BX114" s="94"/>
      <c r="BY114" s="94"/>
      <c r="BZ114" s="94"/>
      <c r="CA114" s="94"/>
      <c r="CB114" s="94"/>
      <c r="CC114" s="94"/>
      <c r="CD114" s="94"/>
      <c r="CE114" s="94"/>
      <c r="CF114" s="94"/>
      <c r="CG114" s="94"/>
      <c r="CH114" s="94"/>
      <c r="CI114" s="94"/>
      <c r="CJ114" s="94"/>
      <c r="CK114" s="94"/>
      <c r="CL114" s="94"/>
      <c r="CM114" s="94"/>
      <c r="CN114" s="94"/>
      <c r="CO114" s="94"/>
      <c r="CP114" s="94"/>
      <c r="CQ114" s="94"/>
      <c r="CR114" s="94"/>
      <c r="CS114" s="94"/>
      <c r="CT114" s="94"/>
      <c r="CU114" s="95">
        <v>0.2</v>
      </c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95">
        <v>0.2</v>
      </c>
      <c r="DK114" s="95">
        <v>0.2</v>
      </c>
      <c r="DL114" s="95">
        <v>0.1</v>
      </c>
      <c r="DM114" s="95">
        <v>0.1</v>
      </c>
      <c r="DN114" s="95">
        <v>0.2</v>
      </c>
      <c r="DO114" s="4"/>
      <c r="DP114" s="4"/>
      <c r="DQ114" s="4"/>
      <c r="DR114" s="4"/>
      <c r="DS114" s="4"/>
      <c r="DT114" s="37">
        <f t="shared" si="74"/>
        <v>1</v>
      </c>
    </row>
    <row r="115" spans="2:124" x14ac:dyDescent="0.3">
      <c r="B115" s="4">
        <v>53</v>
      </c>
      <c r="C115" s="85" t="s">
        <v>180</v>
      </c>
      <c r="D115" s="87" t="s">
        <v>119</v>
      </c>
      <c r="E115" s="87" t="s">
        <v>214</v>
      </c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94"/>
      <c r="DK115" s="94"/>
      <c r="DL115" s="94"/>
      <c r="DM115" s="94"/>
      <c r="DN115" s="94"/>
      <c r="DO115" s="4"/>
      <c r="DP115" s="4"/>
      <c r="DQ115" s="4"/>
      <c r="DR115" s="4"/>
      <c r="DS115" s="4"/>
      <c r="DT115" s="37">
        <f t="shared" si="74"/>
        <v>0</v>
      </c>
    </row>
    <row r="116" spans="2:124" x14ac:dyDescent="0.3">
      <c r="B116" s="4">
        <v>54</v>
      </c>
      <c r="C116" s="85" t="s">
        <v>181</v>
      </c>
      <c r="D116" s="87" t="s">
        <v>119</v>
      </c>
      <c r="E116" s="87" t="s">
        <v>214</v>
      </c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37">
        <f t="shared" si="74"/>
        <v>0</v>
      </c>
    </row>
    <row r="117" spans="2:124" x14ac:dyDescent="0.3">
      <c r="B117" s="4">
        <v>55</v>
      </c>
      <c r="C117" s="85" t="s">
        <v>182</v>
      </c>
      <c r="D117" s="87" t="s">
        <v>119</v>
      </c>
      <c r="E117" s="87" t="s">
        <v>214</v>
      </c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37">
        <f t="shared" si="74"/>
        <v>0</v>
      </c>
    </row>
    <row r="118" spans="2:124" x14ac:dyDescent="0.3">
      <c r="B118" s="4">
        <v>56</v>
      </c>
      <c r="C118" s="85" t="s">
        <v>183</v>
      </c>
      <c r="D118" s="87" t="s">
        <v>119</v>
      </c>
      <c r="E118" s="87" t="s">
        <v>214</v>
      </c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37">
        <f t="shared" si="74"/>
        <v>0</v>
      </c>
    </row>
    <row r="119" spans="2:124" hidden="1" x14ac:dyDescent="0.3">
      <c r="B119" s="4">
        <v>57</v>
      </c>
      <c r="C119" s="85" t="s">
        <v>184</v>
      </c>
      <c r="D119" s="87" t="s">
        <v>185</v>
      </c>
      <c r="E119" s="87" t="s">
        <v>214</v>
      </c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</row>
    <row r="120" spans="2:124" x14ac:dyDescent="0.3">
      <c r="B120" s="4">
        <v>58</v>
      </c>
      <c r="C120" s="85" t="s">
        <v>186</v>
      </c>
      <c r="D120" s="87" t="s">
        <v>119</v>
      </c>
      <c r="E120" s="87" t="s">
        <v>214</v>
      </c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37">
        <f t="shared" ref="DT120:DT122" si="75">SUM(BJ120:DN120)</f>
        <v>0</v>
      </c>
    </row>
    <row r="121" spans="2:124" x14ac:dyDescent="0.3">
      <c r="B121" s="4">
        <v>59</v>
      </c>
      <c r="C121" s="85" t="s">
        <v>187</v>
      </c>
      <c r="D121" s="87" t="s">
        <v>188</v>
      </c>
      <c r="E121" s="87" t="s">
        <v>214</v>
      </c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37">
        <f t="shared" si="75"/>
        <v>0</v>
      </c>
    </row>
    <row r="122" spans="2:124" x14ac:dyDescent="0.3">
      <c r="B122" s="4">
        <v>60</v>
      </c>
      <c r="C122" s="85" t="s">
        <v>189</v>
      </c>
      <c r="D122" s="87" t="s">
        <v>119</v>
      </c>
      <c r="E122" s="87" t="s">
        <v>214</v>
      </c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37">
        <f t="shared" si="75"/>
        <v>0</v>
      </c>
    </row>
    <row r="123" spans="2:124" hidden="1" x14ac:dyDescent="0.3">
      <c r="B123" s="4">
        <v>61</v>
      </c>
      <c r="C123" s="85" t="s">
        <v>190</v>
      </c>
      <c r="D123" s="87" t="s">
        <v>128</v>
      </c>
      <c r="E123" s="87" t="s">
        <v>214</v>
      </c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94"/>
      <c r="CV123" s="94"/>
      <c r="CW123" s="94"/>
      <c r="CX123" s="94"/>
      <c r="CY123" s="94"/>
      <c r="CZ123" s="94"/>
      <c r="DA123" s="94"/>
      <c r="DB123" s="94"/>
      <c r="DC123" s="94"/>
      <c r="DD123" s="94"/>
      <c r="DE123" s="94"/>
      <c r="DF123" s="94"/>
      <c r="DG123" s="94"/>
      <c r="DH123" s="94"/>
      <c r="DI123" s="94"/>
      <c r="DJ123" s="94"/>
      <c r="DK123" s="94"/>
      <c r="DL123" s="94"/>
      <c r="DM123" s="94"/>
      <c r="DN123" s="94"/>
      <c r="DO123" s="4"/>
      <c r="DP123" s="4"/>
      <c r="DQ123" s="4"/>
      <c r="DR123" s="4"/>
      <c r="DS123" s="4"/>
      <c r="DT123" s="4"/>
    </row>
    <row r="124" spans="2:124" x14ac:dyDescent="0.3">
      <c r="B124" s="4">
        <v>62</v>
      </c>
      <c r="C124" s="85" t="s">
        <v>191</v>
      </c>
      <c r="D124" s="87" t="s">
        <v>192</v>
      </c>
      <c r="E124" s="87" t="s">
        <v>213</v>
      </c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94"/>
      <c r="CV124" s="94"/>
      <c r="CW124" s="94"/>
      <c r="CX124" s="94"/>
      <c r="CY124" s="94"/>
      <c r="CZ124" s="94"/>
      <c r="DA124" s="94"/>
      <c r="DB124" s="94"/>
      <c r="DC124" s="94"/>
      <c r="DD124" s="94"/>
      <c r="DE124" s="94"/>
      <c r="DF124" s="94"/>
      <c r="DG124" s="94"/>
      <c r="DH124" s="94"/>
      <c r="DI124" s="94"/>
      <c r="DJ124" s="95">
        <v>0.2</v>
      </c>
      <c r="DK124" s="95">
        <v>0.2</v>
      </c>
      <c r="DL124" s="95">
        <v>0.2</v>
      </c>
      <c r="DM124" s="95">
        <v>0.2</v>
      </c>
      <c r="DN124" s="95">
        <v>0.2</v>
      </c>
      <c r="DO124" s="4"/>
      <c r="DP124" s="4"/>
      <c r="DQ124" s="4"/>
      <c r="DR124" s="4"/>
      <c r="DS124" s="4"/>
      <c r="DT124" s="37">
        <f t="shared" ref="DT124:DT126" si="76">SUM(BJ124:DN124)</f>
        <v>1</v>
      </c>
    </row>
    <row r="125" spans="2:124" x14ac:dyDescent="0.3">
      <c r="B125" s="4">
        <v>63</v>
      </c>
      <c r="C125" s="85" t="s">
        <v>193</v>
      </c>
      <c r="D125" s="87" t="s">
        <v>192</v>
      </c>
      <c r="E125" s="87" t="s">
        <v>213</v>
      </c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94"/>
      <c r="CV125" s="94"/>
      <c r="CW125" s="94"/>
      <c r="CX125" s="94"/>
      <c r="CY125" s="94"/>
      <c r="CZ125" s="94"/>
      <c r="DA125" s="94"/>
      <c r="DB125" s="94"/>
      <c r="DC125" s="94"/>
      <c r="DD125" s="94"/>
      <c r="DE125" s="94"/>
      <c r="DF125" s="94"/>
      <c r="DG125" s="94"/>
      <c r="DH125" s="94"/>
      <c r="DI125" s="94"/>
      <c r="DJ125" s="95">
        <v>0.2</v>
      </c>
      <c r="DK125" s="95">
        <v>0.2</v>
      </c>
      <c r="DL125" s="95">
        <v>0.2</v>
      </c>
      <c r="DM125" s="95">
        <v>0.2</v>
      </c>
      <c r="DN125" s="95">
        <v>0.2</v>
      </c>
      <c r="DO125" s="4"/>
      <c r="DP125" s="4"/>
      <c r="DQ125" s="4"/>
      <c r="DR125" s="4"/>
      <c r="DS125" s="4"/>
      <c r="DT125" s="37">
        <f t="shared" si="76"/>
        <v>1</v>
      </c>
    </row>
    <row r="126" spans="2:124" x14ac:dyDescent="0.3">
      <c r="B126" s="4">
        <v>64</v>
      </c>
      <c r="C126" s="85" t="s">
        <v>194</v>
      </c>
      <c r="D126" s="87" t="s">
        <v>192</v>
      </c>
      <c r="E126" s="87" t="s">
        <v>213</v>
      </c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94"/>
      <c r="CV126" s="94"/>
      <c r="CW126" s="94"/>
      <c r="CX126" s="94"/>
      <c r="CY126" s="94"/>
      <c r="CZ126" s="94"/>
      <c r="DA126" s="94"/>
      <c r="DB126" s="94"/>
      <c r="DC126" s="94"/>
      <c r="DD126" s="94"/>
      <c r="DE126" s="94"/>
      <c r="DF126" s="94"/>
      <c r="DG126" s="94"/>
      <c r="DH126" s="94"/>
      <c r="DI126" s="94"/>
      <c r="DJ126" s="95">
        <v>0.2</v>
      </c>
      <c r="DK126" s="95">
        <v>0.2</v>
      </c>
      <c r="DL126" s="95">
        <v>0.2</v>
      </c>
      <c r="DM126" s="95">
        <v>0.2</v>
      </c>
      <c r="DN126" s="95">
        <v>0.2</v>
      </c>
      <c r="DO126" s="4"/>
      <c r="DP126" s="4"/>
      <c r="DQ126" s="4"/>
      <c r="DR126" s="4"/>
      <c r="DS126" s="4"/>
      <c r="DT126" s="37">
        <f t="shared" si="76"/>
        <v>1</v>
      </c>
    </row>
    <row r="127" spans="2:124" hidden="1" x14ac:dyDescent="0.3">
      <c r="B127" s="4">
        <v>65</v>
      </c>
      <c r="C127" s="85" t="s">
        <v>195</v>
      </c>
      <c r="D127" s="87" t="s">
        <v>196</v>
      </c>
      <c r="E127" s="87" t="s">
        <v>213</v>
      </c>
      <c r="BJ127" s="4"/>
      <c r="BK127" s="4"/>
      <c r="BL127" s="4"/>
      <c r="BM127" s="4"/>
      <c r="BN127" s="4"/>
      <c r="BO127" s="95"/>
      <c r="BP127" s="94"/>
      <c r="BQ127" s="95">
        <v>0.25</v>
      </c>
      <c r="BR127" s="94"/>
      <c r="BS127" s="94"/>
      <c r="BT127" s="94"/>
      <c r="BU127" s="94"/>
      <c r="BV127" s="94"/>
      <c r="BW127" s="94"/>
      <c r="BX127" s="94"/>
      <c r="BY127" s="94"/>
      <c r="BZ127" s="94"/>
      <c r="CA127" s="94"/>
      <c r="CB127" s="94"/>
      <c r="CC127" s="94"/>
      <c r="CD127" s="94"/>
      <c r="CE127" s="9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92">
        <v>0.25</v>
      </c>
    </row>
    <row r="128" spans="2:124" hidden="1" x14ac:dyDescent="0.3">
      <c r="B128" s="4">
        <v>66</v>
      </c>
      <c r="C128" s="85" t="s">
        <v>197</v>
      </c>
      <c r="D128" s="87" t="s">
        <v>196</v>
      </c>
      <c r="E128" s="87" t="s">
        <v>213</v>
      </c>
      <c r="BJ128" s="4"/>
      <c r="BK128" s="4"/>
      <c r="BL128" s="4"/>
      <c r="BM128" s="4"/>
      <c r="BN128" s="4"/>
      <c r="BO128" s="94"/>
      <c r="BP128" s="94"/>
      <c r="BQ128" s="95">
        <v>0.25</v>
      </c>
      <c r="BR128" s="94"/>
      <c r="BS128" s="94"/>
      <c r="BT128" s="94"/>
      <c r="BU128" s="94"/>
      <c r="BV128" s="94"/>
      <c r="BW128" s="94"/>
      <c r="BX128" s="94"/>
      <c r="BY128" s="94"/>
      <c r="BZ128" s="94"/>
      <c r="CA128" s="94"/>
      <c r="CB128" s="94"/>
      <c r="CC128" s="94"/>
      <c r="CD128" s="94"/>
      <c r="CE128" s="9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92">
        <v>0.25</v>
      </c>
    </row>
    <row r="129" spans="2:124" hidden="1" x14ac:dyDescent="0.3">
      <c r="B129" s="4">
        <v>67</v>
      </c>
      <c r="C129" s="85" t="s">
        <v>198</v>
      </c>
      <c r="D129" s="87" t="s">
        <v>196</v>
      </c>
      <c r="E129" s="87" t="s">
        <v>213</v>
      </c>
      <c r="BJ129" s="4"/>
      <c r="BK129" s="4"/>
      <c r="BL129" s="4"/>
      <c r="BM129" s="4"/>
      <c r="BN129" s="4"/>
      <c r="BO129" s="94"/>
      <c r="BP129" s="94"/>
      <c r="BQ129" s="95">
        <v>0.25</v>
      </c>
      <c r="BR129" s="94"/>
      <c r="BS129" s="94"/>
      <c r="BT129" s="94"/>
      <c r="BU129" s="94"/>
      <c r="BV129" s="94"/>
      <c r="BW129" s="94"/>
      <c r="BX129" s="94"/>
      <c r="BY129" s="94"/>
      <c r="BZ129" s="94"/>
      <c r="CA129" s="94"/>
      <c r="CB129" s="94"/>
      <c r="CC129" s="94"/>
      <c r="CD129" s="94"/>
      <c r="CE129" s="9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92">
        <v>0.25</v>
      </c>
    </row>
    <row r="130" spans="2:124" hidden="1" x14ac:dyDescent="0.3">
      <c r="B130" s="4">
        <v>68</v>
      </c>
      <c r="C130" s="85" t="s">
        <v>199</v>
      </c>
      <c r="D130" s="87" t="s">
        <v>196</v>
      </c>
      <c r="E130" s="87" t="s">
        <v>213</v>
      </c>
      <c r="BJ130" s="4"/>
      <c r="BK130" s="4"/>
      <c r="BL130" s="4"/>
      <c r="BM130" s="4"/>
      <c r="BN130" s="4"/>
      <c r="BO130" s="94"/>
      <c r="BP130" s="94"/>
      <c r="BQ130" s="95">
        <v>0.25</v>
      </c>
      <c r="BR130" s="94"/>
      <c r="BS130" s="94"/>
      <c r="BT130" s="94"/>
      <c r="BU130" s="94"/>
      <c r="BV130" s="94"/>
      <c r="BW130" s="94"/>
      <c r="BX130" s="94"/>
      <c r="BY130" s="94"/>
      <c r="BZ130" s="94"/>
      <c r="CA130" s="94"/>
      <c r="CB130" s="94"/>
      <c r="CC130" s="94"/>
      <c r="CD130" s="94"/>
      <c r="CE130" s="9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92">
        <v>0.25</v>
      </c>
    </row>
    <row r="131" spans="2:124" hidden="1" x14ac:dyDescent="0.3">
      <c r="B131" s="4">
        <v>69</v>
      </c>
      <c r="C131" s="85" t="s">
        <v>200</v>
      </c>
      <c r="D131" s="87" t="s">
        <v>201</v>
      </c>
      <c r="E131" s="87" t="s">
        <v>213</v>
      </c>
      <c r="BJ131" s="4"/>
      <c r="BK131" s="4"/>
      <c r="BL131" s="4"/>
      <c r="BM131" s="4"/>
      <c r="BN131" s="4"/>
      <c r="BO131" s="94"/>
      <c r="BP131" s="94"/>
      <c r="BQ131" s="94"/>
      <c r="BR131" s="94"/>
      <c r="BS131" s="94"/>
      <c r="BT131" s="94"/>
      <c r="BU131" s="94"/>
      <c r="BV131" s="94"/>
      <c r="BW131" s="94"/>
      <c r="BX131" s="94"/>
      <c r="BY131" s="94"/>
      <c r="BZ131" s="94"/>
      <c r="CA131" s="94"/>
      <c r="CB131" s="94"/>
      <c r="CC131" s="95">
        <v>0.25</v>
      </c>
      <c r="CD131" s="94"/>
      <c r="CE131" s="9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92">
        <v>0.25</v>
      </c>
    </row>
    <row r="132" spans="2:124" hidden="1" x14ac:dyDescent="0.3">
      <c r="B132" s="4">
        <v>70</v>
      </c>
      <c r="C132" s="88" t="s">
        <v>202</v>
      </c>
      <c r="D132" s="89" t="s">
        <v>203</v>
      </c>
      <c r="E132" s="89" t="s">
        <v>212</v>
      </c>
      <c r="BJ132" s="4"/>
      <c r="BK132" s="4"/>
      <c r="BL132" s="4"/>
      <c r="BM132" s="4"/>
      <c r="BN132" s="4"/>
      <c r="BO132" s="94"/>
      <c r="BP132" s="94"/>
      <c r="BQ132" s="94"/>
      <c r="BR132" s="95">
        <v>1</v>
      </c>
      <c r="BS132" s="94"/>
      <c r="BT132" s="94"/>
      <c r="BU132" s="94"/>
      <c r="BV132" s="94"/>
      <c r="BW132" s="94"/>
      <c r="BX132" s="94"/>
      <c r="BY132" s="94"/>
      <c r="BZ132" s="94"/>
      <c r="CA132" s="94"/>
      <c r="CB132" s="94"/>
      <c r="CC132" s="94"/>
      <c r="CD132" s="94"/>
      <c r="CE132" s="9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92">
        <v>1</v>
      </c>
    </row>
    <row r="133" spans="2:124" hidden="1" x14ac:dyDescent="0.3">
      <c r="B133" s="4">
        <v>71</v>
      </c>
      <c r="C133" s="88" t="s">
        <v>204</v>
      </c>
      <c r="D133" s="89" t="s">
        <v>205</v>
      </c>
      <c r="E133" s="89" t="s">
        <v>212</v>
      </c>
      <c r="BJ133" s="4"/>
      <c r="BK133" s="4"/>
      <c r="BL133" s="4"/>
      <c r="BM133" s="4"/>
      <c r="BN133" s="4"/>
      <c r="BO133" s="94"/>
      <c r="BP133" s="94"/>
      <c r="BQ133" s="95">
        <v>1</v>
      </c>
      <c r="BR133" s="94"/>
      <c r="BS133" s="94"/>
      <c r="BT133" s="94"/>
      <c r="BU133" s="94"/>
      <c r="BV133" s="94"/>
      <c r="BW133" s="94"/>
      <c r="BX133" s="94"/>
      <c r="BY133" s="94"/>
      <c r="BZ133" s="94"/>
      <c r="CA133" s="94"/>
      <c r="CB133" s="95"/>
      <c r="CC133" s="95"/>
      <c r="CD133" s="94"/>
      <c r="CE133" s="9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92">
        <v>1</v>
      </c>
    </row>
    <row r="134" spans="2:124" hidden="1" x14ac:dyDescent="0.3">
      <c r="B134" s="4">
        <v>72</v>
      </c>
      <c r="C134" s="88" t="s">
        <v>206</v>
      </c>
      <c r="D134" s="89" t="s">
        <v>207</v>
      </c>
      <c r="E134" s="89" t="s">
        <v>213</v>
      </c>
      <c r="BJ134" s="4"/>
      <c r="BK134" s="4"/>
      <c r="BL134" s="4"/>
      <c r="BM134" s="4"/>
      <c r="BN134" s="4"/>
      <c r="BO134" s="94"/>
      <c r="BP134" s="94"/>
      <c r="BQ134" s="94"/>
      <c r="BR134" s="94"/>
      <c r="BS134" s="94"/>
      <c r="BT134" s="94"/>
      <c r="BU134" s="94"/>
      <c r="BV134" s="94"/>
      <c r="BW134" s="94"/>
      <c r="BX134" s="94"/>
      <c r="BY134" s="94"/>
      <c r="BZ134" s="94"/>
      <c r="CA134" s="94"/>
      <c r="CB134" s="95">
        <v>0.25</v>
      </c>
      <c r="CC134" s="95">
        <v>0.25</v>
      </c>
      <c r="CD134" s="94"/>
      <c r="CE134" s="9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92">
        <v>0.5</v>
      </c>
    </row>
    <row r="135" spans="2:124" hidden="1" x14ac:dyDescent="0.3">
      <c r="B135" s="4">
        <v>73</v>
      </c>
      <c r="C135" s="88" t="s">
        <v>208</v>
      </c>
      <c r="D135" s="89" t="s">
        <v>209</v>
      </c>
      <c r="E135" s="89" t="s">
        <v>213</v>
      </c>
      <c r="BJ135" s="4"/>
      <c r="BK135" s="4"/>
      <c r="BL135" s="4"/>
      <c r="BM135" s="4"/>
      <c r="BN135" s="4"/>
      <c r="BO135" s="94"/>
      <c r="BP135" s="94"/>
      <c r="BQ135" s="94"/>
      <c r="BR135" s="94"/>
      <c r="BS135" s="94"/>
      <c r="BT135" s="94"/>
      <c r="BU135" s="94"/>
      <c r="BV135" s="94"/>
      <c r="BW135" s="94"/>
      <c r="BX135" s="94"/>
      <c r="BY135" s="94"/>
      <c r="BZ135" s="94"/>
      <c r="CA135" s="94"/>
      <c r="CB135" s="94"/>
      <c r="CC135" s="95">
        <v>0.25</v>
      </c>
      <c r="CD135" s="94"/>
      <c r="CE135" s="9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92">
        <v>0.25</v>
      </c>
    </row>
    <row r="136" spans="2:124" hidden="1" x14ac:dyDescent="0.3">
      <c r="B136" s="4">
        <v>74</v>
      </c>
      <c r="C136" s="88" t="s">
        <v>210</v>
      </c>
      <c r="D136" s="89" t="s">
        <v>211</v>
      </c>
      <c r="E136" s="89" t="s">
        <v>213</v>
      </c>
      <c r="BJ136" s="4"/>
      <c r="BK136" s="4"/>
      <c r="BL136" s="4"/>
      <c r="BM136" s="4"/>
      <c r="BN136" s="4"/>
      <c r="BO136" s="94"/>
      <c r="BP136" s="94"/>
      <c r="BQ136" s="94"/>
      <c r="BR136" s="94"/>
      <c r="BS136" s="95">
        <v>0.25</v>
      </c>
      <c r="BT136" s="94"/>
      <c r="BU136" s="94"/>
      <c r="BV136" s="94"/>
      <c r="BW136" s="94"/>
      <c r="BX136" s="94"/>
      <c r="BY136" s="94"/>
      <c r="BZ136" s="94"/>
      <c r="CA136" s="94"/>
      <c r="CB136" s="94"/>
      <c r="CC136" s="94"/>
      <c r="CD136" s="94"/>
      <c r="CE136" s="9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92">
        <v>0.25</v>
      </c>
    </row>
    <row r="137" spans="2:124" ht="14.45" hidden="1" x14ac:dyDescent="0.3">
      <c r="B137" s="4">
        <v>75</v>
      </c>
      <c r="C137" s="80"/>
      <c r="D137" s="80"/>
      <c r="E137" s="81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</row>
    <row r="138" spans="2:124" ht="13.9" hidden="1" x14ac:dyDescent="0.25">
      <c r="B138" s="4"/>
      <c r="C138" s="4"/>
      <c r="D138" s="4"/>
      <c r="E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</row>
  </sheetData>
  <sheetProtection formatColumns="0" formatRows="0" sort="0" autoFilter="0"/>
  <autoFilter ref="B12:E137">
    <filterColumn colId="2">
      <filters>
        <filter val="Chief Nurse"/>
        <filter val="OIC Chief Nurse"/>
        <filter val="Reliever Nurse"/>
        <filter val="Staff Nurse"/>
      </filters>
    </filterColumn>
  </autoFilter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3">
    <dataValidation type="decimal" allowBlank="1" showInputMessage="1" showErrorMessage="1" promptTitle="Enter a number between 0 and 1" prompt="For example, 1=full time; 0.5=half time" sqref="E137">
      <formula1>0</formula1>
      <formula2>1</formula2>
    </dataValidation>
    <dataValidation type="decimal" operator="greaterThanOrEqual" allowBlank="1" showInputMessage="1" showErrorMessage="1" sqref="DJ105:DN105 DJ96:DN96 G13:BH92 BJ13:DR92">
      <formula1>0</formula1>
    </dataValidation>
    <dataValidation type="list" allowBlank="1" showInputMessage="1" showErrorMessage="1" sqref="E13:E136">
      <formula1>"FT, PT"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7"/>
  <sheetViews>
    <sheetView topLeftCell="A36" workbookViewId="0">
      <selection activeCell="B2" sqref="B2:B67"/>
    </sheetView>
  </sheetViews>
  <sheetFormatPr defaultColWidth="9.140625" defaultRowHeight="15" x14ac:dyDescent="0.25"/>
  <cols>
    <col min="1" max="1" width="9.140625" style="75"/>
    <col min="2" max="2" width="58.140625" style="75" bestFit="1" customWidth="1"/>
    <col min="3" max="16384" width="9.140625" style="75"/>
  </cols>
  <sheetData>
    <row r="1" spans="1:2" ht="14.45" x14ac:dyDescent="0.3">
      <c r="B1" s="76" t="s">
        <v>97</v>
      </c>
    </row>
    <row r="2" spans="1:2" ht="14.45" x14ac:dyDescent="0.3">
      <c r="A2" s="75">
        <v>1</v>
      </c>
      <c r="B2" s="75" t="str">
        <f>IF('6.1Personnel List'!$D$4="Level I",'Level I_Departments'!C4,'Level IIandIII_Departments'!C4)</f>
        <v>Administrative/Overhead services -&gt; Office of the Medical Center Chief</v>
      </c>
    </row>
    <row r="3" spans="1:2" ht="14.45" x14ac:dyDescent="0.3">
      <c r="A3" s="75">
        <f t="shared" ref="A3:A34" si="0">A2+1</f>
        <v>2</v>
      </c>
      <c r="B3" s="75" t="str">
        <f>IF('6.1Personnel List'!$D$4="Level I",'Level I_Departments'!C5,'Level IIandIII_Departments'!C5)</f>
        <v>Administrative/Overhead services -&gt; IT Department</v>
      </c>
    </row>
    <row r="4" spans="1:2" ht="14.45" x14ac:dyDescent="0.3">
      <c r="A4" s="75">
        <f t="shared" si="0"/>
        <v>3</v>
      </c>
      <c r="B4" s="75" t="str">
        <f>IF('6.1Personnel List'!$D$4="Level I",'Level I_Departments'!C6,'Level IIandIII_Departments'!C6)</f>
        <v>Administrative/Overhead services -&gt; Office of the Administrative Officer</v>
      </c>
    </row>
    <row r="5" spans="1:2" ht="14.45" x14ac:dyDescent="0.3">
      <c r="A5" s="75">
        <f t="shared" si="0"/>
        <v>4</v>
      </c>
      <c r="B5" s="75" t="str">
        <f>IF('6.1Personnel List'!$D$4="Level I",'Level I_Departments'!C7,'Level IIandIII_Departments'!C7)</f>
        <v>Administrative/Overhead services -&gt; Human Resource Management</v>
      </c>
    </row>
    <row r="6" spans="1:2" ht="14.45" x14ac:dyDescent="0.3">
      <c r="A6" s="75">
        <f t="shared" si="0"/>
        <v>5</v>
      </c>
      <c r="B6" s="75" t="str">
        <f>IF('6.1Personnel List'!$D$4="Level I",'Level I_Departments'!C8,'Level IIandIII_Departments'!C8)</f>
        <v>Administrative/Overhead services -&gt; Procurement</v>
      </c>
    </row>
    <row r="7" spans="1:2" ht="14.45" x14ac:dyDescent="0.3">
      <c r="A7" s="75">
        <f t="shared" si="0"/>
        <v>6</v>
      </c>
      <c r="B7" s="75" t="str">
        <f>IF('6.1Personnel List'!$D$4="Level I",'Level I_Departments'!C9,'Level IIandIII_Departments'!C9)</f>
        <v>Administrative/Overhead services -&gt; Materials Management</v>
      </c>
    </row>
    <row r="8" spans="1:2" ht="14.45" x14ac:dyDescent="0.3">
      <c r="A8" s="75">
        <f t="shared" si="0"/>
        <v>7</v>
      </c>
      <c r="B8" s="75" t="str">
        <f>IF('6.1Personnel List'!$D$4="Level I",'Level I_Departments'!C10,'Level IIandIII_Departments'!C10)</f>
        <v>Administrative/Overhead services -&gt; Engineering and Facilities Management</v>
      </c>
    </row>
    <row r="9" spans="1:2" ht="14.45" x14ac:dyDescent="0.3">
      <c r="A9" s="75">
        <f t="shared" si="0"/>
        <v>8</v>
      </c>
      <c r="B9" s="75" t="str">
        <f>IF('6.1Personnel List'!$D$4="Level I",'Level I_Departments'!C11,'Level IIandIII_Departments'!C11)</f>
        <v xml:space="preserve">Administrative/Overhead services -&gt; Housekeeping </v>
      </c>
    </row>
    <row r="10" spans="1:2" ht="14.45" x14ac:dyDescent="0.3">
      <c r="A10" s="75">
        <f t="shared" si="0"/>
        <v>9</v>
      </c>
      <c r="B10" s="75" t="str">
        <f>IF('6.1Personnel List'!$D$4="Level I",'Level I_Departments'!C12,'Level IIandIII_Departments'!C12)</f>
        <v>Administrative/Overhead services -&gt; Budget and Accounting</v>
      </c>
    </row>
    <row r="11" spans="1:2" ht="14.45" x14ac:dyDescent="0.3">
      <c r="A11" s="75">
        <f t="shared" si="0"/>
        <v>10</v>
      </c>
      <c r="B11" s="75" t="str">
        <f>IF('6.1Personnel List'!$D$4="Level I",'Level I_Departments'!C13,'Level IIandIII_Departments'!C13)</f>
        <v>Administrative/Overhead services -&gt; Medical Social Work</v>
      </c>
    </row>
    <row r="12" spans="1:2" ht="14.45" x14ac:dyDescent="0.3">
      <c r="A12" s="75">
        <f t="shared" si="0"/>
        <v>11</v>
      </c>
      <c r="B12" s="75" t="str">
        <f>IF('6.1Personnel List'!$D$4="Level I",'Level I_Departments'!C14,'Level IIandIII_Departments'!C14)</f>
        <v>Administrative/Overhead services -&gt; Office of the Chief Nurse</v>
      </c>
    </row>
    <row r="13" spans="1:2" ht="14.45" x14ac:dyDescent="0.3">
      <c r="A13" s="75">
        <f t="shared" si="0"/>
        <v>12</v>
      </c>
      <c r="B13" s="75" t="str">
        <f>IF('6.1Personnel List'!$D$4="Level I",'Level I_Departments'!C15,'Level IIandIII_Departments'!C15)</f>
        <v>Administrative/Overhead services -&gt; Health Info Mgt (Admitting)</v>
      </c>
    </row>
    <row r="14" spans="1:2" ht="14.45" x14ac:dyDescent="0.3">
      <c r="A14" s="75">
        <f t="shared" si="0"/>
        <v>13</v>
      </c>
      <c r="B14" s="75" t="str">
        <f>IF('6.1Personnel List'!$D$4="Level I",'Level I_Departments'!C16,'Level IIandIII_Departments'!C16)</f>
        <v>Administrative/Overhead services -&gt; Central Supply Office</v>
      </c>
    </row>
    <row r="15" spans="1:2" ht="14.45" x14ac:dyDescent="0.3">
      <c r="A15" s="75">
        <f t="shared" si="0"/>
        <v>14</v>
      </c>
      <c r="B15" s="75" t="str">
        <f>IF('6.1Personnel List'!$D$4="Level I",'Level I_Departments'!C17,'Level IIandIII_Departments'!C17)</f>
        <v>Administrative/Overhead services -&gt; Billing and Claims</v>
      </c>
    </row>
    <row r="16" spans="1:2" ht="14.45" x14ac:dyDescent="0.3">
      <c r="A16" s="75">
        <f t="shared" si="0"/>
        <v>15</v>
      </c>
      <c r="B16" s="75" t="str">
        <f>IF('6.1Personnel List'!$D$4="Level I",'Level I_Departments'!C18,'Level IIandIII_Departments'!C18)</f>
        <v>Administrative/Overhead services -&gt; Cash Operations</v>
      </c>
    </row>
    <row r="17" spans="1:2" ht="14.45" x14ac:dyDescent="0.3">
      <c r="A17" s="75">
        <f t="shared" si="0"/>
        <v>16</v>
      </c>
      <c r="B17" s="75" t="str">
        <f>IF('6.1Personnel List'!$D$4="Level I",'Level I_Departments'!C19,'Level IIandIII_Departments'!C19)</f>
        <v>Administrative/Overhead services -&gt; Security</v>
      </c>
    </row>
    <row r="18" spans="1:2" ht="14.45" x14ac:dyDescent="0.3">
      <c r="A18" s="75">
        <f t="shared" si="0"/>
        <v>17</v>
      </c>
      <c r="B18" s="75" t="str">
        <f>IF('6.1Personnel List'!$D$4="Level I",'Level I_Departments'!C20,'Level IIandIII_Departments'!C20)</f>
        <v>Administrative/Overhead services -&gt; Office of the Chief of Medical Professional Staff / Chief of Clinics</v>
      </c>
    </row>
    <row r="19" spans="1:2" ht="14.45" x14ac:dyDescent="0.3">
      <c r="A19" s="75">
        <f t="shared" si="0"/>
        <v>18</v>
      </c>
      <c r="B19" s="75" t="str">
        <f>IF('6.1Personnel List'!$D$4="Level I",'Level I_Departments'!C21,'Level IIandIII_Departments'!C21)</f>
        <v>Administrative/Overhead services -&gt; Others</v>
      </c>
    </row>
    <row r="20" spans="1:2" ht="14.45" x14ac:dyDescent="0.3">
      <c r="A20" s="75">
        <f t="shared" si="0"/>
        <v>19</v>
      </c>
      <c r="B20" s="75" t="str">
        <f>IF('6.1Personnel List'!$D$4="Level I",'Level I_Departments'!C22,'Level IIandIII_Departments'!C22)</f>
        <v>Ancillary services/Support services -&gt; Laundry</v>
      </c>
    </row>
    <row r="21" spans="1:2" ht="14.45" x14ac:dyDescent="0.3">
      <c r="A21" s="75">
        <f t="shared" si="0"/>
        <v>20</v>
      </c>
      <c r="B21" s="75" t="str">
        <f>IF('6.1Personnel List'!$D$4="Level I",'Level I_Departments'!C23,'Level IIandIII_Departments'!C23)</f>
        <v>Ancillary services/Support services -&gt; Nutrition and Dietetics</v>
      </c>
    </row>
    <row r="22" spans="1:2" ht="14.45" x14ac:dyDescent="0.3">
      <c r="A22" s="75">
        <f t="shared" si="0"/>
        <v>21</v>
      </c>
      <c r="B22" s="75" t="str">
        <f>IF('6.1Personnel List'!$D$4="Level I",'Level I_Departments'!C24,'Level IIandIII_Departments'!C24)</f>
        <v>Ancillary services/Support services -&gt; Sterilization</v>
      </c>
    </row>
    <row r="23" spans="1:2" ht="14.45" x14ac:dyDescent="0.3">
      <c r="A23" s="75">
        <f t="shared" si="0"/>
        <v>22</v>
      </c>
      <c r="B23" s="75" t="str">
        <f>IF('6.1Personnel List'!$D$4="Level I",'Level I_Departments'!C25,'Level IIandIII_Departments'!C25)</f>
        <v>Ancillary services/Support services -&gt; Pharmacy</v>
      </c>
    </row>
    <row r="24" spans="1:2" ht="14.45" x14ac:dyDescent="0.3">
      <c r="A24" s="75">
        <f t="shared" si="0"/>
        <v>23</v>
      </c>
      <c r="B24" s="75" t="str">
        <f>IF('6.1Personnel List'!$D$4="Level I",'Level I_Departments'!C26,'Level IIandIII_Departments'!C26)</f>
        <v>Ancillary services/Support services -&gt; Blood Bank</v>
      </c>
    </row>
    <row r="25" spans="1:2" ht="14.45" x14ac:dyDescent="0.3">
      <c r="A25" s="75">
        <f t="shared" si="0"/>
        <v>24</v>
      </c>
      <c r="B25" s="75" t="str">
        <f>IF('6.1Personnel List'!$D$4="Level I",'Level I_Departments'!C27,'Level IIandIII_Departments'!C27)</f>
        <v>Ancillary services/Support services -&gt; Laboratory</v>
      </c>
    </row>
    <row r="26" spans="1:2" ht="14.45" x14ac:dyDescent="0.3">
      <c r="A26" s="75">
        <f t="shared" si="0"/>
        <v>25</v>
      </c>
      <c r="B26" s="75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 ht="14.45" x14ac:dyDescent="0.3">
      <c r="A27" s="75">
        <f t="shared" si="0"/>
        <v>26</v>
      </c>
      <c r="B27" s="75" t="str">
        <f>IF('6.1Personnel List'!$D$4="Level I",'Level I_Departments'!C29,'Level IIandIII_Departments'!C29)</f>
        <v>Ancillary services/Support services -&gt; Heart Station</v>
      </c>
    </row>
    <row r="28" spans="1:2" ht="14.45" x14ac:dyDescent="0.3">
      <c r="A28" s="75">
        <f t="shared" si="0"/>
        <v>27</v>
      </c>
      <c r="B28" s="75" t="str">
        <f>IF('6.1Personnel List'!$D$4="Level I",'Level I_Departments'!C30,'Level IIandIII_Departments'!C30)</f>
        <v>Ancillary services/Support services -&gt; Physiotherapy / Rehabilitation</v>
      </c>
    </row>
    <row r="29" spans="1:2" ht="14.45" x14ac:dyDescent="0.3">
      <c r="A29" s="75">
        <f t="shared" si="0"/>
        <v>28</v>
      </c>
      <c r="B29" s="75" t="str">
        <f>IF('6.1Personnel List'!$D$4="Level I",'Level I_Departments'!C31,'Level IIandIII_Departments'!C31)</f>
        <v>Ancillary services/Support services -&gt; Delivery Room</v>
      </c>
    </row>
    <row r="30" spans="1:2" ht="14.45" x14ac:dyDescent="0.3">
      <c r="A30" s="75">
        <f t="shared" si="0"/>
        <v>29</v>
      </c>
      <c r="B30" s="75" t="str">
        <f>IF('6.1Personnel List'!$D$4="Level I",'Level I_Departments'!C32,'Level IIandIII_Departments'!C32)</f>
        <v>Ancillary services/Support services -&gt; Operating Room / Aneasthesiology / PACU / Recovery Room</v>
      </c>
    </row>
    <row r="31" spans="1:2" ht="14.45" x14ac:dyDescent="0.3">
      <c r="A31" s="75">
        <f t="shared" si="0"/>
        <v>30</v>
      </c>
      <c r="B31" s="75" t="str">
        <f>IF('6.1Personnel List'!$D$4="Level I",'Level I_Departments'!C33,'Level IIandIII_Departments'!C33)</f>
        <v>Ancillary services/Support services -&gt; Respiratory Unit</v>
      </c>
    </row>
    <row r="32" spans="1:2" ht="14.45" x14ac:dyDescent="0.3">
      <c r="A32" s="75">
        <f t="shared" si="0"/>
        <v>31</v>
      </c>
      <c r="B32" s="75" t="str">
        <f>IF('6.1Personnel List'!$D$4="Level I",'Level I_Departments'!C34,'Level IIandIII_Departments'!C34)</f>
        <v>Ancillary services/Support services -&gt; Medical ICU</v>
      </c>
    </row>
    <row r="33" spans="1:2" ht="14.45" x14ac:dyDescent="0.3">
      <c r="A33" s="75">
        <f t="shared" si="0"/>
        <v>32</v>
      </c>
      <c r="B33" s="75" t="str">
        <f>IF('6.1Personnel List'!$D$4="Level I",'Level I_Departments'!C35,'Level IIandIII_Departments'!C35)</f>
        <v>Ancillary services/Support services -&gt; Neonatal ICU*</v>
      </c>
    </row>
    <row r="34" spans="1:2" ht="14.45" x14ac:dyDescent="0.3">
      <c r="A34" s="75">
        <f t="shared" si="0"/>
        <v>33</v>
      </c>
      <c r="B34" s="75" t="str">
        <f>IF('6.1Personnel List'!$D$4="Level I",'Level I_Departments'!C36,'Level IIandIII_Departments'!C36)</f>
        <v>Ancillary services/Support services -&gt; Surgical ICU*</v>
      </c>
    </row>
    <row r="35" spans="1:2" ht="14.45" x14ac:dyDescent="0.3">
      <c r="A35" s="75">
        <f t="shared" ref="A35:A67" si="1">A34+1</f>
        <v>34</v>
      </c>
      <c r="B35" s="75" t="str">
        <f>IF('6.1Personnel List'!$D$4="Level I",'Level I_Departments'!C37,'Level IIandIII_Departments'!C37)</f>
        <v>Ancillary services/Support services -&gt; Pediatric ICU*</v>
      </c>
    </row>
    <row r="36" spans="1:2" ht="14.45" x14ac:dyDescent="0.3">
      <c r="A36" s="75">
        <f t="shared" si="1"/>
        <v>35</v>
      </c>
      <c r="B36" s="75" t="str">
        <f>IF('6.1Personnel List'!$D$4="Level I",'Level I_Departments'!C38,'Level IIandIII_Departments'!C38)</f>
        <v>Ancillary services/Support services -&gt; Burn Unit</v>
      </c>
    </row>
    <row r="37" spans="1:2" ht="14.45" x14ac:dyDescent="0.3">
      <c r="A37" s="75">
        <f t="shared" si="1"/>
        <v>36</v>
      </c>
      <c r="B37" s="75" t="str">
        <f>IF('6.1Personnel List'!$D$4="Level I",'Level I_Departments'!C39,'Level IIandIII_Departments'!C39)</f>
        <v>Ancillary services/Support services -&gt; Morgue</v>
      </c>
    </row>
    <row r="38" spans="1:2" ht="14.45" x14ac:dyDescent="0.3">
      <c r="A38" s="75">
        <f t="shared" si="1"/>
        <v>37</v>
      </c>
      <c r="B38" s="75" t="str">
        <f>IF('6.1Personnel List'!$D$4="Level I",'Level I_Departments'!C40,'Level IIandIII_Departments'!C40)</f>
        <v>Ancillary services/Support services -&gt; Others</v>
      </c>
    </row>
    <row r="39" spans="1:2" ht="14.45" x14ac:dyDescent="0.3">
      <c r="A39" s="75">
        <f t="shared" si="1"/>
        <v>38</v>
      </c>
      <c r="B39" s="75" t="str">
        <f>IF('6.1Personnel List'!$D$4="Level I",'Level I_Departments'!C41,'Level IIandIII_Departments'!C41)</f>
        <v>Clinical/Medical services -&gt; Outpatient Department</v>
      </c>
    </row>
    <row r="40" spans="1:2" ht="14.45" x14ac:dyDescent="0.3">
      <c r="A40" s="75">
        <f t="shared" si="1"/>
        <v>39</v>
      </c>
      <c r="B40" s="75" t="str">
        <f>IF('6.1Personnel List'!$D$4="Level I",'Level I_Departments'!C42,'Level IIandIII_Departments'!C42)</f>
        <v>Clinical/Medical services -&gt; Animal Bite Center</v>
      </c>
    </row>
    <row r="41" spans="1:2" ht="14.45" x14ac:dyDescent="0.3">
      <c r="A41" s="75">
        <f t="shared" si="1"/>
        <v>40</v>
      </c>
      <c r="B41" s="75" t="str">
        <f>IF('6.1Personnel List'!$D$4="Level I",'Level I_Departments'!C43,'Level IIandIII_Departments'!C43)</f>
        <v>Clinical/Medical services -&gt; TB Dots</v>
      </c>
    </row>
    <row r="42" spans="1:2" ht="14.45" x14ac:dyDescent="0.3">
      <c r="A42" s="75">
        <f t="shared" si="1"/>
        <v>41</v>
      </c>
      <c r="B42" s="75" t="str">
        <f>IF('6.1Personnel List'!$D$4="Level I",'Level I_Departments'!C44,'Level IIandIII_Departments'!C44)</f>
        <v>Clinical/Medical services -&gt; HIV Aids</v>
      </c>
    </row>
    <row r="43" spans="1:2" ht="14.45" x14ac:dyDescent="0.3">
      <c r="A43" s="75">
        <f t="shared" si="1"/>
        <v>42</v>
      </c>
      <c r="B43" s="75" t="str">
        <f>IF('6.1Personnel List'!$D$4="Level I",'Level I_Departments'!C45,'Level IIandIII_Departments'!C45)</f>
        <v>Clinical/Medical services -&gt; Family Planning Unit</v>
      </c>
    </row>
    <row r="44" spans="1:2" ht="14.45" x14ac:dyDescent="0.3">
      <c r="A44" s="75">
        <f t="shared" si="1"/>
        <v>43</v>
      </c>
      <c r="B44" s="75" t="str">
        <f>IF('6.1Personnel List'!$D$4="Level I",'Level I_Departments'!C46,'Level IIandIII_Departments'!C46)</f>
        <v>Clinical/Medical services -&gt; Smoking Cessation</v>
      </c>
    </row>
    <row r="45" spans="1:2" ht="14.45" x14ac:dyDescent="0.3">
      <c r="A45" s="75">
        <f t="shared" si="1"/>
        <v>44</v>
      </c>
      <c r="B45" s="75" t="str">
        <f>IF('6.1Personnel List'!$D$4="Level I",'Level I_Departments'!C47,'Level IIandIII_Departments'!C47)</f>
        <v>Clinical/Medical services -&gt; Malaria</v>
      </c>
    </row>
    <row r="46" spans="1:2" ht="14.45" x14ac:dyDescent="0.3">
      <c r="A46" s="75">
        <f t="shared" si="1"/>
        <v>45</v>
      </c>
      <c r="B46" s="75" t="str">
        <f>IF('6.1Personnel List'!$D$4="Level I",'Level I_Departments'!C48,'Level IIandIII_Departments'!C48)</f>
        <v>Clinical/Medical services -&gt; Diabetes MAP</v>
      </c>
    </row>
    <row r="47" spans="1:2" ht="14.45" x14ac:dyDescent="0.3">
      <c r="A47" s="75">
        <f t="shared" si="1"/>
        <v>46</v>
      </c>
      <c r="B47" s="75" t="str">
        <f>IF('6.1Personnel List'!$D$4="Level I",'Level I_Departments'!C49,'Level IIandIII_Departments'!C49)</f>
        <v>Clinical/Medical services -&gt; Hypertension MAP</v>
      </c>
    </row>
    <row r="48" spans="1:2" ht="14.45" x14ac:dyDescent="0.3">
      <c r="A48" s="75">
        <f t="shared" si="1"/>
        <v>47</v>
      </c>
      <c r="B48" s="75" t="str">
        <f>IF('6.1Personnel List'!$D$4="Level I",'Level I_Departments'!C50,'Level IIandIII_Departments'!C50)</f>
        <v>Clinical/Medical services -&gt; Emergency Medicine Department</v>
      </c>
    </row>
    <row r="49" spans="1:2" ht="14.45" x14ac:dyDescent="0.3">
      <c r="A49" s="75">
        <f t="shared" si="1"/>
        <v>48</v>
      </c>
      <c r="B49" s="75" t="str">
        <f>IF('6.1Personnel List'!$D$4="Level I",'Level I_Departments'!C51,'Level IIandIII_Departments'!C51)</f>
        <v>Clinical/Medical services -&gt; Dialysis Unit</v>
      </c>
    </row>
    <row r="50" spans="1:2" ht="14.45" x14ac:dyDescent="0.3">
      <c r="A50" s="75">
        <f t="shared" si="1"/>
        <v>49</v>
      </c>
      <c r="B50" s="75" t="str">
        <f>IF('6.1Personnel List'!$D$4="Level I",'Level I_Departments'!C52,'Level IIandIII_Departments'!C52)</f>
        <v>Clinical/Medical services -&gt; Nuclear Medicine</v>
      </c>
    </row>
    <row r="51" spans="1:2" ht="14.45" x14ac:dyDescent="0.3">
      <c r="A51" s="75">
        <f t="shared" si="1"/>
        <v>50</v>
      </c>
      <c r="B51" s="75" t="str">
        <f>IF('6.1Personnel List'!$D$4="Level I",'Level I_Departments'!C53,'Level IIandIII_Departments'!C53)</f>
        <v>Clinical/Medical services -&gt; Radiation Oncology Unit*</v>
      </c>
    </row>
    <row r="52" spans="1:2" ht="14.45" x14ac:dyDescent="0.3">
      <c r="A52" s="75">
        <f t="shared" si="1"/>
        <v>51</v>
      </c>
      <c r="B52" s="75" t="str">
        <f>IF('6.1Personnel List'!$D$4="Level I",'Level I_Departments'!C54,'Level IIandIII_Departments'!C54)</f>
        <v>Clinical/Medical services -&gt; Endoscopy Unit</v>
      </c>
    </row>
    <row r="53" spans="1:2" ht="14.45" x14ac:dyDescent="0.3">
      <c r="A53" s="75">
        <f t="shared" si="1"/>
        <v>52</v>
      </c>
      <c r="B53" s="75" t="str">
        <f>IF('6.1Personnel List'!$D$4="Level I",'Level I_Departments'!C55,'Level IIandIII_Departments'!C55)</f>
        <v>Clinical/Medical services -&gt; Dental</v>
      </c>
    </row>
    <row r="54" spans="1:2" ht="14.45" x14ac:dyDescent="0.3">
      <c r="A54" s="75">
        <f t="shared" si="1"/>
        <v>53</v>
      </c>
      <c r="B54" s="75" t="str">
        <f>IF('6.1Personnel List'!$D$4="Level I",'Level I_Departments'!C56,'Level IIandIII_Departments'!C56)</f>
        <v>Clinical/Medical services -&gt; Internal Medicine Ward</v>
      </c>
    </row>
    <row r="55" spans="1:2" ht="14.45" x14ac:dyDescent="0.3">
      <c r="A55" s="75">
        <f t="shared" si="1"/>
        <v>54</v>
      </c>
      <c r="B55" s="75" t="str">
        <f>IF('6.1Personnel List'!$D$4="Level I",'Level I_Departments'!C57,'Level IIandIII_Departments'!C57)</f>
        <v>Clinical/Medical services -&gt; Pediatric Ward</v>
      </c>
    </row>
    <row r="56" spans="1:2" x14ac:dyDescent="0.25">
      <c r="A56" s="75">
        <f t="shared" si="1"/>
        <v>55</v>
      </c>
      <c r="B56" s="75" t="str">
        <f>IF('6.1Personnel List'!$D$4="Level I",'Level I_Departments'!C58,'Level IIandIII_Departments'!C58)</f>
        <v>Clinical/Medical services -&gt; Surgical Ward</v>
      </c>
    </row>
    <row r="57" spans="1:2" x14ac:dyDescent="0.25">
      <c r="A57" s="75">
        <f t="shared" si="1"/>
        <v>56</v>
      </c>
      <c r="B57" s="75" t="str">
        <f>IF('6.1Personnel List'!$D$4="Level I",'Level I_Departments'!C59,'Level IIandIII_Departments'!C59)</f>
        <v>Clinical/Medical services -&gt; Ob/Gyne Ward</v>
      </c>
    </row>
    <row r="58" spans="1:2" x14ac:dyDescent="0.25">
      <c r="A58" s="75">
        <f t="shared" si="1"/>
        <v>57</v>
      </c>
      <c r="B58" s="75" t="str">
        <f>IF('6.1Personnel List'!$D$4="Level I",'Level I_Departments'!C60,'Level IIandIII_Departments'!C60)</f>
        <v>Clinical/Medical services -&gt; Private Ward</v>
      </c>
    </row>
    <row r="59" spans="1:2" x14ac:dyDescent="0.25">
      <c r="A59" s="75">
        <f t="shared" si="1"/>
        <v>58</v>
      </c>
      <c r="B59" s="75" t="str">
        <f>IF('6.1Personnel List'!$D$4="Level I",'Level I_Departments'!C61,'Level IIandIII_Departments'!C61)</f>
        <v>Clinical/Medical services -&gt; Neurosurgery Ward*</v>
      </c>
    </row>
    <row r="60" spans="1:2" x14ac:dyDescent="0.25">
      <c r="A60" s="75">
        <f t="shared" si="1"/>
        <v>59</v>
      </c>
      <c r="B60" s="75" t="str">
        <f>IF('6.1Personnel List'!$D$4="Level I",'Level I_Departments'!C62,'Level IIandIII_Departments'!C62)</f>
        <v>Clinical/Medical services -&gt; Orthopedic Ward*</v>
      </c>
    </row>
    <row r="61" spans="1:2" x14ac:dyDescent="0.25">
      <c r="A61" s="75">
        <f t="shared" si="1"/>
        <v>60</v>
      </c>
      <c r="B61" s="75" t="str">
        <f>IF('6.1Personnel List'!$D$4="Level I",'Level I_Departments'!C63,'Level IIandIII_Departments'!C63)</f>
        <v>Clinical/Medical services -&gt; Psychiatric Ward*</v>
      </c>
    </row>
    <row r="62" spans="1:2" x14ac:dyDescent="0.25">
      <c r="A62" s="75">
        <f t="shared" si="1"/>
        <v>61</v>
      </c>
      <c r="B62" s="75" t="str">
        <f>IF('6.1Personnel List'!$D$4="Level I",'Level I_Departments'!C64,'Level IIandIII_Departments'!C64)</f>
        <v>Clinical/Medical services -&gt; ENT Ward*</v>
      </c>
    </row>
    <row r="63" spans="1:2" x14ac:dyDescent="0.25">
      <c r="A63" s="75">
        <f t="shared" si="1"/>
        <v>62</v>
      </c>
      <c r="B63" s="75">
        <f>IF('6.1Personnel List'!$D$4="Level I",'Level I_Departments'!C65,'Level IIandIII_Departments'!C65)</f>
        <v>0</v>
      </c>
    </row>
    <row r="64" spans="1:2" x14ac:dyDescent="0.25">
      <c r="A64" s="75">
        <f t="shared" si="1"/>
        <v>63</v>
      </c>
      <c r="B64" s="75">
        <f>IF('6.1Personnel List'!$D$4="Level I",'Level I_Departments'!C66,'Level IIandIII_Departments'!C66)</f>
        <v>0</v>
      </c>
    </row>
    <row r="65" spans="1:2" x14ac:dyDescent="0.25">
      <c r="A65" s="75">
        <f t="shared" si="1"/>
        <v>64</v>
      </c>
      <c r="B65" s="75">
        <f>IF('6.1Personnel List'!$D$4="Level I",'Level I_Departments'!C67,'Level IIandIII_Departments'!C67)</f>
        <v>0</v>
      </c>
    </row>
    <row r="66" spans="1:2" x14ac:dyDescent="0.25">
      <c r="A66" s="75">
        <f t="shared" si="1"/>
        <v>65</v>
      </c>
      <c r="B66" s="75">
        <f>IF('6.1Personnel List'!$D$4="Level I",'Level I_Departments'!C68,'Level IIandIII_Departments'!C68)</f>
        <v>0</v>
      </c>
    </row>
    <row r="67" spans="1:2" x14ac:dyDescent="0.25">
      <c r="A67" s="75">
        <f t="shared" si="1"/>
        <v>66</v>
      </c>
      <c r="B67" s="75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2578125" defaultRowHeight="15" customHeight="1" x14ac:dyDescent="0.25"/>
  <cols>
    <col min="1" max="1" width="39.5703125" style="44" customWidth="1"/>
    <col min="2" max="2" width="65.7109375" style="44" customWidth="1"/>
    <col min="3" max="3" width="86.5703125" style="44" bestFit="1" customWidth="1"/>
    <col min="4" max="16384" width="14.42578125" style="44"/>
  </cols>
  <sheetData>
    <row r="1" spans="1:3" ht="15" customHeight="1" x14ac:dyDescent="0.3">
      <c r="A1" s="74" t="s">
        <v>96</v>
      </c>
      <c r="B1" s="47"/>
    </row>
    <row r="2" spans="1:3" ht="15" customHeight="1" x14ac:dyDescent="0.3">
      <c r="A2" s="47"/>
      <c r="B2" s="47"/>
    </row>
    <row r="3" spans="1:3" ht="15" customHeight="1" x14ac:dyDescent="0.3">
      <c r="A3" s="73" t="s">
        <v>95</v>
      </c>
      <c r="B3" s="72" t="s">
        <v>94</v>
      </c>
    </row>
    <row r="4" spans="1:3" ht="15" customHeight="1" x14ac:dyDescent="0.3">
      <c r="A4" s="68" t="s">
        <v>19</v>
      </c>
      <c r="B4" s="72" t="s">
        <v>20</v>
      </c>
      <c r="C4" s="45" t="str">
        <f t="shared" ref="C4:C35" si="0">CONCATENATE(A4, " -&gt; ",B4)</f>
        <v>Administrative/Overhead services -&gt; Office of the Medical Center Chief</v>
      </c>
    </row>
    <row r="5" spans="1:3" ht="15" customHeight="1" x14ac:dyDescent="0.3">
      <c r="A5" s="68" t="s">
        <v>19</v>
      </c>
      <c r="B5" s="71" t="s">
        <v>83</v>
      </c>
      <c r="C5" s="45" t="str">
        <f t="shared" si="0"/>
        <v>Administrative/Overhead services -&gt; IT Departments</v>
      </c>
    </row>
    <row r="6" spans="1:3" ht="15" customHeight="1" x14ac:dyDescent="0.3">
      <c r="A6" s="68" t="s">
        <v>19</v>
      </c>
      <c r="B6" s="71" t="s">
        <v>21</v>
      </c>
      <c r="C6" s="45" t="str">
        <f t="shared" si="0"/>
        <v>Administrative/Overhead services -&gt; Office of the Administrative Officer</v>
      </c>
    </row>
    <row r="7" spans="1:3" ht="15" customHeight="1" x14ac:dyDescent="0.3">
      <c r="A7" s="68" t="s">
        <v>19</v>
      </c>
      <c r="B7" s="71" t="s">
        <v>22</v>
      </c>
      <c r="C7" s="45" t="str">
        <f t="shared" si="0"/>
        <v>Administrative/Overhead services -&gt; Human Resource Management</v>
      </c>
    </row>
    <row r="8" spans="1:3" ht="15" customHeight="1" x14ac:dyDescent="0.3">
      <c r="A8" s="68" t="s">
        <v>19</v>
      </c>
      <c r="B8" s="71" t="s">
        <v>23</v>
      </c>
      <c r="C8" s="45" t="str">
        <f t="shared" si="0"/>
        <v>Administrative/Overhead services -&gt; Procurement</v>
      </c>
    </row>
    <row r="9" spans="1:3" ht="15" customHeight="1" x14ac:dyDescent="0.3">
      <c r="A9" s="68" t="s">
        <v>19</v>
      </c>
      <c r="B9" s="71" t="s">
        <v>24</v>
      </c>
      <c r="C9" s="45" t="str">
        <f t="shared" si="0"/>
        <v>Administrative/Overhead services -&gt; Materials Management</v>
      </c>
    </row>
    <row r="10" spans="1:3" ht="15" customHeight="1" x14ac:dyDescent="0.3">
      <c r="A10" s="68" t="s">
        <v>19</v>
      </c>
      <c r="B10" s="71" t="s">
        <v>25</v>
      </c>
      <c r="C10" s="45" t="str">
        <f t="shared" si="0"/>
        <v>Administrative/Overhead services -&gt; Engineering and Facilities Management</v>
      </c>
    </row>
    <row r="11" spans="1:3" ht="15" customHeight="1" x14ac:dyDescent="0.3">
      <c r="A11" s="68" t="s">
        <v>19</v>
      </c>
      <c r="B11" s="71" t="s">
        <v>84</v>
      </c>
      <c r="C11" s="45" t="str">
        <f t="shared" si="0"/>
        <v>Administrative/Overhead services -&gt; Housekeeping</v>
      </c>
    </row>
    <row r="12" spans="1:3" ht="15" customHeight="1" x14ac:dyDescent="0.3">
      <c r="A12" s="68" t="s">
        <v>19</v>
      </c>
      <c r="B12" s="71" t="s">
        <v>26</v>
      </c>
      <c r="C12" s="45" t="str">
        <f t="shared" si="0"/>
        <v>Administrative/Overhead services -&gt; Budget and Accounting</v>
      </c>
    </row>
    <row r="13" spans="1:3" ht="15" customHeight="1" x14ac:dyDescent="0.3">
      <c r="A13" s="68" t="s">
        <v>19</v>
      </c>
      <c r="B13" s="71" t="s">
        <v>27</v>
      </c>
      <c r="C13" s="45" t="str">
        <f t="shared" si="0"/>
        <v>Administrative/Overhead services -&gt; Medical Social Work</v>
      </c>
    </row>
    <row r="14" spans="1:3" ht="15" customHeight="1" x14ac:dyDescent="0.3">
      <c r="A14" s="68" t="s">
        <v>19</v>
      </c>
      <c r="B14" s="71" t="s">
        <v>28</v>
      </c>
      <c r="C14" s="45" t="str">
        <f t="shared" si="0"/>
        <v>Administrative/Overhead services -&gt; Office of the Chief Nurse</v>
      </c>
    </row>
    <row r="15" spans="1:3" ht="15" customHeight="1" x14ac:dyDescent="0.3">
      <c r="A15" s="68" t="s">
        <v>19</v>
      </c>
      <c r="B15" s="71" t="s">
        <v>29</v>
      </c>
      <c r="C15" s="45" t="str">
        <f t="shared" si="0"/>
        <v>Administrative/Overhead services -&gt; Health Info Mgt (Admitting)</v>
      </c>
    </row>
    <row r="16" spans="1:3" ht="15" customHeight="1" x14ac:dyDescent="0.3">
      <c r="A16" s="68" t="s">
        <v>19</v>
      </c>
      <c r="B16" s="71" t="s">
        <v>30</v>
      </c>
      <c r="C16" s="45" t="str">
        <f t="shared" si="0"/>
        <v>Administrative/Overhead services -&gt; Central Supply Office</v>
      </c>
    </row>
    <row r="17" spans="1:3" ht="15" customHeight="1" x14ac:dyDescent="0.3">
      <c r="A17" s="68" t="s">
        <v>19</v>
      </c>
      <c r="B17" s="71" t="s">
        <v>31</v>
      </c>
      <c r="C17" s="45" t="str">
        <f t="shared" si="0"/>
        <v>Administrative/Overhead services -&gt; Billing and Claims</v>
      </c>
    </row>
    <row r="18" spans="1:3" ht="15" customHeight="1" x14ac:dyDescent="0.3">
      <c r="A18" s="68" t="s">
        <v>19</v>
      </c>
      <c r="B18" s="71" t="s">
        <v>32</v>
      </c>
      <c r="C18" s="45" t="str">
        <f t="shared" si="0"/>
        <v>Administrative/Overhead services -&gt; Cash Operations</v>
      </c>
    </row>
    <row r="19" spans="1:3" ht="15" customHeight="1" x14ac:dyDescent="0.3">
      <c r="A19" s="68" t="s">
        <v>19</v>
      </c>
      <c r="B19" s="71" t="s">
        <v>33</v>
      </c>
      <c r="C19" s="45" t="str">
        <f t="shared" si="0"/>
        <v>Administrative/Overhead services -&gt; Security</v>
      </c>
    </row>
    <row r="20" spans="1:3" ht="15" customHeight="1" x14ac:dyDescent="0.3">
      <c r="A20" s="68" t="s">
        <v>19</v>
      </c>
      <c r="B20" s="71" t="s">
        <v>34</v>
      </c>
      <c r="C20" s="45" t="str">
        <f t="shared" si="0"/>
        <v>Administrative/Overhead services -&gt; Office of the Chief of Medical Professional Staff</v>
      </c>
    </row>
    <row r="21" spans="1:3" ht="15" customHeight="1" x14ac:dyDescent="0.3">
      <c r="A21" s="68" t="s">
        <v>19</v>
      </c>
      <c r="B21" s="68" t="s">
        <v>64</v>
      </c>
      <c r="C21" s="45" t="str">
        <f t="shared" si="0"/>
        <v>Administrative/Overhead services -&gt; Others</v>
      </c>
    </row>
    <row r="22" spans="1:3" ht="15" customHeight="1" x14ac:dyDescent="0.3">
      <c r="A22" s="65" t="s">
        <v>35</v>
      </c>
      <c r="B22" s="65" t="s">
        <v>36</v>
      </c>
      <c r="C22" s="45" t="str">
        <f t="shared" si="0"/>
        <v>Ancillary services/Support services -&gt; Laundry</v>
      </c>
    </row>
    <row r="23" spans="1:3" ht="15" customHeight="1" x14ac:dyDescent="0.3">
      <c r="A23" s="65" t="s">
        <v>35</v>
      </c>
      <c r="B23" s="65" t="s">
        <v>39</v>
      </c>
      <c r="C23" s="45" t="str">
        <f t="shared" si="0"/>
        <v>Ancillary services/Support services -&gt; Nutrition and Dietetics</v>
      </c>
    </row>
    <row r="24" spans="1:3" ht="15" customHeight="1" x14ac:dyDescent="0.3">
      <c r="A24" s="65" t="s">
        <v>35</v>
      </c>
      <c r="B24" s="67" t="s">
        <v>65</v>
      </c>
      <c r="C24" s="45" t="str">
        <f t="shared" si="0"/>
        <v>Ancillary services/Support services -&gt; Sterilization</v>
      </c>
    </row>
    <row r="25" spans="1:3" ht="15" customHeight="1" x14ac:dyDescent="0.3">
      <c r="A25" s="65" t="s">
        <v>35</v>
      </c>
      <c r="B25" s="65" t="s">
        <v>38</v>
      </c>
      <c r="C25" s="45" t="str">
        <f t="shared" si="0"/>
        <v>Ancillary services/Support services -&gt; Pharmacy</v>
      </c>
    </row>
    <row r="26" spans="1:3" ht="16.5" x14ac:dyDescent="0.3">
      <c r="A26" s="65" t="s">
        <v>35</v>
      </c>
      <c r="B26" s="67" t="s">
        <v>37</v>
      </c>
      <c r="C26" s="45" t="str">
        <f t="shared" si="0"/>
        <v>Ancillary services/Support services -&gt; Blood Bank</v>
      </c>
    </row>
    <row r="27" spans="1:3" ht="16.5" x14ac:dyDescent="0.3">
      <c r="A27" s="65" t="s">
        <v>35</v>
      </c>
      <c r="B27" s="65" t="s">
        <v>66</v>
      </c>
      <c r="C27" s="45" t="str">
        <f t="shared" si="0"/>
        <v>Ancillary services/Support services -&gt; Laboratory</v>
      </c>
    </row>
    <row r="28" spans="1:3" ht="16.5" x14ac:dyDescent="0.3">
      <c r="A28" s="65" t="s">
        <v>35</v>
      </c>
      <c r="B28" s="65" t="s">
        <v>67</v>
      </c>
      <c r="C28" s="45" t="str">
        <f t="shared" si="0"/>
        <v>Ancillary services/Support services -&gt; Radiology / Diagnostic Imaging (CT Scan, MRI, ECG, Mammography, Endoscopy)</v>
      </c>
    </row>
    <row r="29" spans="1:3" ht="16.5" x14ac:dyDescent="0.3">
      <c r="A29" s="65" t="s">
        <v>35</v>
      </c>
      <c r="B29" s="65" t="s">
        <v>69</v>
      </c>
      <c r="C29" s="45" t="str">
        <f t="shared" si="0"/>
        <v>Ancillary services/Support services -&gt; Physiotherapy / Rehabilitation</v>
      </c>
    </row>
    <row r="30" spans="1:3" ht="16.5" x14ac:dyDescent="0.3">
      <c r="A30" s="65" t="s">
        <v>35</v>
      </c>
      <c r="B30" s="65" t="s">
        <v>5</v>
      </c>
      <c r="C30" s="45" t="str">
        <f t="shared" si="0"/>
        <v>Ancillary services/Support services -&gt; Delivery Room</v>
      </c>
    </row>
    <row r="31" spans="1:3" ht="16.5" x14ac:dyDescent="0.3">
      <c r="A31" s="65" t="s">
        <v>35</v>
      </c>
      <c r="B31" s="70" t="s">
        <v>40</v>
      </c>
      <c r="C31" s="45" t="str">
        <f t="shared" si="0"/>
        <v>Ancillary services/Support services -&gt; Operating Room / Aneasthesiology / PACU / Recovery Room</v>
      </c>
    </row>
    <row r="32" spans="1:3" ht="16.5" x14ac:dyDescent="0.3">
      <c r="A32" s="65" t="s">
        <v>35</v>
      </c>
      <c r="B32" s="65" t="s">
        <v>70</v>
      </c>
      <c r="C32" s="45" t="str">
        <f t="shared" si="0"/>
        <v>Ancillary services/Support services -&gt; Respiratory Unit</v>
      </c>
    </row>
    <row r="33" spans="1:3" ht="16.5" x14ac:dyDescent="0.3">
      <c r="A33" s="65" t="s">
        <v>35</v>
      </c>
      <c r="B33" s="70" t="s">
        <v>41</v>
      </c>
      <c r="C33" s="45" t="str">
        <f t="shared" si="0"/>
        <v>Ancillary services/Support services -&gt; Medical ICU</v>
      </c>
    </row>
    <row r="34" spans="1:3" ht="16.5" x14ac:dyDescent="0.3">
      <c r="A34" s="65" t="s">
        <v>35</v>
      </c>
      <c r="B34" s="70" t="s">
        <v>42</v>
      </c>
      <c r="C34" s="45" t="str">
        <f t="shared" si="0"/>
        <v>Ancillary services/Support services -&gt; Neonatal ICU*</v>
      </c>
    </row>
    <row r="35" spans="1:3" ht="16.5" x14ac:dyDescent="0.3">
      <c r="A35" s="65" t="s">
        <v>35</v>
      </c>
      <c r="B35" s="70" t="s">
        <v>43</v>
      </c>
      <c r="C35" s="45" t="str">
        <f t="shared" si="0"/>
        <v>Ancillary services/Support services -&gt; Surgical ICU*</v>
      </c>
    </row>
    <row r="36" spans="1:3" ht="16.5" x14ac:dyDescent="0.3">
      <c r="A36" s="65" t="s">
        <v>35</v>
      </c>
      <c r="B36" s="70" t="s">
        <v>44</v>
      </c>
      <c r="C36" s="45" t="str">
        <f t="shared" ref="C36:C57" si="1">CONCATENATE(A36, " -&gt; ",B36)</f>
        <v>Ancillary services/Support services -&gt; Pediatric ICU*</v>
      </c>
    </row>
    <row r="37" spans="1:3" ht="16.5" x14ac:dyDescent="0.3">
      <c r="A37" s="65" t="s">
        <v>35</v>
      </c>
      <c r="B37" s="67" t="s">
        <v>71</v>
      </c>
      <c r="C37" s="45" t="str">
        <f t="shared" si="1"/>
        <v>Ancillary services/Support services -&gt; Burn Unit</v>
      </c>
    </row>
    <row r="38" spans="1:3" ht="16.5" x14ac:dyDescent="0.3">
      <c r="A38" s="65" t="s">
        <v>35</v>
      </c>
      <c r="B38" s="67" t="s">
        <v>72</v>
      </c>
      <c r="C38" s="45" t="str">
        <f t="shared" si="1"/>
        <v>Ancillary services/Support services -&gt; Morgue</v>
      </c>
    </row>
    <row r="39" spans="1:3" ht="16.5" x14ac:dyDescent="0.3">
      <c r="A39" s="65" t="s">
        <v>35</v>
      </c>
      <c r="B39" s="69" t="s">
        <v>64</v>
      </c>
      <c r="C39" s="45" t="str">
        <f t="shared" si="1"/>
        <v>Ancillary services/Support services -&gt; Others</v>
      </c>
    </row>
    <row r="40" spans="1:3" ht="16.5" x14ac:dyDescent="0.3">
      <c r="A40" s="66" t="s">
        <v>46</v>
      </c>
      <c r="B40" s="68" t="s">
        <v>85</v>
      </c>
      <c r="C40" s="45" t="str">
        <f t="shared" si="1"/>
        <v>Clinical/Medical services -&gt; Outpatient Department (general)</v>
      </c>
    </row>
    <row r="41" spans="1:3" ht="16.5" x14ac:dyDescent="0.3">
      <c r="A41" s="66" t="s">
        <v>46</v>
      </c>
      <c r="B41" s="65" t="s">
        <v>73</v>
      </c>
      <c r="C41" s="45" t="str">
        <f t="shared" si="1"/>
        <v>Clinical/Medical services -&gt; Animal Bite Center</v>
      </c>
    </row>
    <row r="42" spans="1:3" ht="16.5" x14ac:dyDescent="0.3">
      <c r="A42" s="66" t="s">
        <v>46</v>
      </c>
      <c r="B42" s="65" t="s">
        <v>74</v>
      </c>
      <c r="C42" s="45" t="str">
        <f t="shared" si="1"/>
        <v>Clinical/Medical services -&gt; TB Dots</v>
      </c>
    </row>
    <row r="43" spans="1:3" ht="16.5" x14ac:dyDescent="0.3">
      <c r="A43" s="66" t="s">
        <v>46</v>
      </c>
      <c r="B43" s="65" t="s">
        <v>75</v>
      </c>
      <c r="C43" s="45" t="str">
        <f t="shared" si="1"/>
        <v>Clinical/Medical services -&gt; HIV Aids</v>
      </c>
    </row>
    <row r="44" spans="1:3" ht="16.5" x14ac:dyDescent="0.3">
      <c r="A44" s="66" t="s">
        <v>46</v>
      </c>
      <c r="B44" s="65" t="s">
        <v>76</v>
      </c>
      <c r="C44" s="45" t="str">
        <f t="shared" si="1"/>
        <v>Clinical/Medical services -&gt; Family Planning Unit</v>
      </c>
    </row>
    <row r="45" spans="1:3" ht="16.5" x14ac:dyDescent="0.3">
      <c r="A45" s="66" t="s">
        <v>46</v>
      </c>
      <c r="B45" s="65" t="s">
        <v>77</v>
      </c>
      <c r="C45" s="45" t="str">
        <f t="shared" si="1"/>
        <v>Clinical/Medical services -&gt; Smoking Cessation</v>
      </c>
    </row>
    <row r="46" spans="1:3" ht="16.5" x14ac:dyDescent="0.3">
      <c r="A46" s="66" t="s">
        <v>46</v>
      </c>
      <c r="B46" s="65" t="s">
        <v>78</v>
      </c>
      <c r="C46" s="45" t="str">
        <f t="shared" si="1"/>
        <v>Clinical/Medical services -&gt; Malaria</v>
      </c>
    </row>
    <row r="47" spans="1:3" ht="16.5" x14ac:dyDescent="0.3">
      <c r="A47" s="66" t="s">
        <v>46</v>
      </c>
      <c r="B47" s="67" t="s">
        <v>86</v>
      </c>
      <c r="C47" s="45" t="str">
        <f t="shared" si="1"/>
        <v xml:space="preserve">Clinical/Medical services -&gt; Diabetes </v>
      </c>
    </row>
    <row r="48" spans="1:3" ht="16.5" x14ac:dyDescent="0.3">
      <c r="A48" s="66" t="s">
        <v>46</v>
      </c>
      <c r="B48" s="65" t="s">
        <v>87</v>
      </c>
      <c r="C48" s="45" t="str">
        <f t="shared" si="1"/>
        <v>Clinical/Medical services -&gt; Hypertension</v>
      </c>
    </row>
    <row r="49" spans="1:3" ht="16.5" x14ac:dyDescent="0.3">
      <c r="A49" s="66" t="s">
        <v>46</v>
      </c>
      <c r="B49" s="65" t="s">
        <v>48</v>
      </c>
      <c r="C49" s="45" t="str">
        <f t="shared" si="1"/>
        <v>Clinical/Medical services -&gt; Emergency Medicine Department</v>
      </c>
    </row>
    <row r="50" spans="1:3" ht="16.5" x14ac:dyDescent="0.3">
      <c r="A50" s="66" t="s">
        <v>46</v>
      </c>
      <c r="B50" s="65" t="s">
        <v>6</v>
      </c>
      <c r="C50" s="45" t="str">
        <f t="shared" si="1"/>
        <v>Clinical/Medical services -&gt; Dialysis Unit</v>
      </c>
    </row>
    <row r="51" spans="1:3" ht="16.5" x14ac:dyDescent="0.3">
      <c r="A51" s="66" t="s">
        <v>46</v>
      </c>
      <c r="B51" s="65" t="s">
        <v>45</v>
      </c>
      <c r="C51" s="45" t="str">
        <f t="shared" si="1"/>
        <v>Clinical/Medical services -&gt; Radiation Oncology Unit*</v>
      </c>
    </row>
    <row r="52" spans="1:3" ht="16.5" x14ac:dyDescent="0.3">
      <c r="A52" s="66" t="s">
        <v>46</v>
      </c>
      <c r="B52" s="65" t="s">
        <v>49</v>
      </c>
      <c r="C52" s="45" t="str">
        <f t="shared" si="1"/>
        <v>Clinical/Medical services -&gt; Dental</v>
      </c>
    </row>
    <row r="53" spans="1:3" ht="16.5" x14ac:dyDescent="0.3">
      <c r="A53" s="66" t="s">
        <v>46</v>
      </c>
      <c r="B53" s="65" t="s">
        <v>50</v>
      </c>
      <c r="C53" s="45" t="str">
        <f t="shared" si="1"/>
        <v>Clinical/Medical services -&gt; Internal Medicine Ward</v>
      </c>
    </row>
    <row r="54" spans="1:3" ht="16.5" x14ac:dyDescent="0.3">
      <c r="A54" s="66" t="s">
        <v>46</v>
      </c>
      <c r="B54" s="65" t="s">
        <v>51</v>
      </c>
      <c r="C54" s="45" t="str">
        <f t="shared" si="1"/>
        <v>Clinical/Medical services -&gt; Pediatric Ward</v>
      </c>
    </row>
    <row r="55" spans="1:3" ht="16.5" x14ac:dyDescent="0.3">
      <c r="A55" s="66" t="s">
        <v>46</v>
      </c>
      <c r="B55" s="65" t="s">
        <v>52</v>
      </c>
      <c r="C55" s="45" t="str">
        <f t="shared" si="1"/>
        <v>Clinical/Medical services -&gt; Surgical Ward</v>
      </c>
    </row>
    <row r="56" spans="1:3" ht="16.5" x14ac:dyDescent="0.3">
      <c r="A56" s="66" t="s">
        <v>46</v>
      </c>
      <c r="B56" s="65" t="s">
        <v>53</v>
      </c>
      <c r="C56" s="45" t="str">
        <f t="shared" si="1"/>
        <v>Clinical/Medical services -&gt; Ob/Gyne Ward</v>
      </c>
    </row>
    <row r="57" spans="1:3" ht="16.5" x14ac:dyDescent="0.3">
      <c r="A57" s="66" t="s">
        <v>46</v>
      </c>
      <c r="B57" s="65" t="s">
        <v>54</v>
      </c>
      <c r="C57" s="45" t="str">
        <f t="shared" si="1"/>
        <v>Clinical/Medical services -&gt; Private Ward</v>
      </c>
    </row>
    <row r="58" spans="1:3" ht="16.5" x14ac:dyDescent="0.3">
      <c r="A58" s="47"/>
      <c r="B58" s="47"/>
    </row>
    <row r="59" spans="1:3" ht="16.5" x14ac:dyDescent="0.3">
      <c r="A59" s="47"/>
      <c r="B59" s="47"/>
    </row>
    <row r="60" spans="1:3" ht="16.5" x14ac:dyDescent="0.3">
      <c r="A60" s="47"/>
      <c r="B60" s="47"/>
    </row>
    <row r="61" spans="1:3" ht="16.5" x14ac:dyDescent="0.3">
      <c r="A61" s="47"/>
      <c r="B61" s="47"/>
    </row>
    <row r="62" spans="1:3" ht="16.5" x14ac:dyDescent="0.3">
      <c r="A62" s="47" t="s">
        <v>93</v>
      </c>
      <c r="B62" s="64" t="s">
        <v>92</v>
      </c>
    </row>
    <row r="63" spans="1:3" ht="16.5" x14ac:dyDescent="0.3">
      <c r="A63" s="47"/>
      <c r="B63" s="64" t="s">
        <v>91</v>
      </c>
    </row>
    <row r="64" spans="1:3" ht="16.5" x14ac:dyDescent="0.3">
      <c r="A64" s="63"/>
      <c r="B64" s="63"/>
    </row>
    <row r="65" spans="1:2" ht="16.5" x14ac:dyDescent="0.3">
      <c r="A65" s="63"/>
      <c r="B65" s="63"/>
    </row>
    <row r="66" spans="1:2" ht="16.5" x14ac:dyDescent="0.3">
      <c r="A66" s="63"/>
      <c r="B66" s="63"/>
    </row>
    <row r="67" spans="1:2" ht="16.5" x14ac:dyDescent="0.3">
      <c r="A67" s="63"/>
      <c r="B67" s="63"/>
    </row>
    <row r="68" spans="1:2" ht="16.5" x14ac:dyDescent="0.3">
      <c r="A68" s="63"/>
      <c r="B68" s="63"/>
    </row>
    <row r="69" spans="1:2" ht="16.5" x14ac:dyDescent="0.3">
      <c r="A69" s="63"/>
      <c r="B69" s="63"/>
    </row>
    <row r="70" spans="1:2" ht="16.5" x14ac:dyDescent="0.3">
      <c r="A70" s="63"/>
      <c r="B70" s="63"/>
    </row>
    <row r="71" spans="1:2" ht="16.5" x14ac:dyDescent="0.3">
      <c r="A71" s="63"/>
      <c r="B71" s="63"/>
    </row>
    <row r="72" spans="1:2" ht="16.5" x14ac:dyDescent="0.3">
      <c r="A72" s="63"/>
      <c r="B72" s="63"/>
    </row>
    <row r="73" spans="1:2" ht="16.5" x14ac:dyDescent="0.3">
      <c r="A73" s="63"/>
      <c r="B73" s="63"/>
    </row>
    <row r="74" spans="1:2" ht="16.5" x14ac:dyDescent="0.3">
      <c r="A74" s="63"/>
      <c r="B74" s="63"/>
    </row>
    <row r="75" spans="1:2" ht="16.5" x14ac:dyDescent="0.3">
      <c r="A75" s="63"/>
      <c r="B75" s="63"/>
    </row>
    <row r="76" spans="1:2" ht="16.5" x14ac:dyDescent="0.3">
      <c r="A76" s="63"/>
      <c r="B76" s="63"/>
    </row>
    <row r="77" spans="1:2" ht="16.5" x14ac:dyDescent="0.3">
      <c r="A77" s="63"/>
      <c r="B77" s="63"/>
    </row>
    <row r="78" spans="1:2" ht="16.5" x14ac:dyDescent="0.3">
      <c r="A78" s="63"/>
      <c r="B78" s="63"/>
    </row>
    <row r="79" spans="1:2" ht="16.5" x14ac:dyDescent="0.3">
      <c r="A79" s="63"/>
      <c r="B79" s="63"/>
    </row>
    <row r="80" spans="1:2" ht="16.5" x14ac:dyDescent="0.3">
      <c r="A80" s="63"/>
      <c r="B80" s="63"/>
    </row>
    <row r="81" spans="1:2" ht="16.5" x14ac:dyDescent="0.3">
      <c r="A81" s="63"/>
      <c r="B81" s="63"/>
    </row>
    <row r="82" spans="1:2" ht="16.5" x14ac:dyDescent="0.3">
      <c r="A82" s="63"/>
      <c r="B82" s="63"/>
    </row>
    <row r="83" spans="1:2" ht="16.5" x14ac:dyDescent="0.3">
      <c r="A83" s="63"/>
      <c r="B83" s="63"/>
    </row>
    <row r="84" spans="1:2" ht="16.5" x14ac:dyDescent="0.3">
      <c r="A84" s="63"/>
      <c r="B84" s="63"/>
    </row>
    <row r="85" spans="1:2" ht="16.5" x14ac:dyDescent="0.3">
      <c r="A85" s="63"/>
      <c r="B85" s="63"/>
    </row>
    <row r="86" spans="1:2" ht="16.5" x14ac:dyDescent="0.3">
      <c r="A86" s="63"/>
      <c r="B86" s="63"/>
    </row>
    <row r="87" spans="1:2" ht="16.5" x14ac:dyDescent="0.3">
      <c r="A87" s="63"/>
      <c r="B87" s="63"/>
    </row>
    <row r="88" spans="1:2" ht="16.5" x14ac:dyDescent="0.3">
      <c r="A88" s="63"/>
      <c r="B88" s="63"/>
    </row>
    <row r="89" spans="1:2" ht="16.5" x14ac:dyDescent="0.3">
      <c r="A89" s="63"/>
      <c r="B89" s="63"/>
    </row>
    <row r="90" spans="1:2" ht="16.5" x14ac:dyDescent="0.3">
      <c r="A90" s="63"/>
      <c r="B90" s="63"/>
    </row>
    <row r="91" spans="1:2" ht="16.5" x14ac:dyDescent="0.3">
      <c r="A91" s="63"/>
      <c r="B91" s="63"/>
    </row>
    <row r="92" spans="1:2" ht="16.5" x14ac:dyDescent="0.3">
      <c r="A92" s="63"/>
      <c r="B92" s="63"/>
    </row>
    <row r="93" spans="1:2" ht="16.5" x14ac:dyDescent="0.3">
      <c r="A93" s="63"/>
      <c r="B93" s="63"/>
    </row>
    <row r="94" spans="1:2" ht="16.5" x14ac:dyDescent="0.3">
      <c r="A94" s="63"/>
      <c r="B94" s="63"/>
    </row>
    <row r="95" spans="1:2" ht="16.5" x14ac:dyDescent="0.3">
      <c r="A95" s="63"/>
      <c r="B95" s="63"/>
    </row>
    <row r="96" spans="1:2" ht="16.5" x14ac:dyDescent="0.3">
      <c r="A96" s="63"/>
      <c r="B96" s="63"/>
    </row>
    <row r="97" spans="1:2" ht="16.5" x14ac:dyDescent="0.3">
      <c r="A97" s="63"/>
      <c r="B97" s="63"/>
    </row>
    <row r="98" spans="1:2" ht="16.5" x14ac:dyDescent="0.3">
      <c r="A98" s="63"/>
      <c r="B98" s="63"/>
    </row>
    <row r="99" spans="1:2" ht="16.5" x14ac:dyDescent="0.3">
      <c r="A99" s="63"/>
      <c r="B99" s="63"/>
    </row>
    <row r="100" spans="1:2" ht="16.5" x14ac:dyDescent="0.3">
      <c r="A100" s="63"/>
      <c r="B100" s="63"/>
    </row>
    <row r="101" spans="1:2" ht="16.5" x14ac:dyDescent="0.3">
      <c r="A101" s="63"/>
      <c r="B101" s="63"/>
    </row>
    <row r="102" spans="1:2" ht="16.5" x14ac:dyDescent="0.3">
      <c r="A102" s="63"/>
      <c r="B102" s="63"/>
    </row>
    <row r="103" spans="1:2" ht="16.5" x14ac:dyDescent="0.3">
      <c r="A103" s="63"/>
      <c r="B103" s="63"/>
    </row>
    <row r="104" spans="1:2" ht="16.5" x14ac:dyDescent="0.3">
      <c r="A104" s="63"/>
      <c r="B104" s="63"/>
    </row>
    <row r="105" spans="1:2" ht="16.5" x14ac:dyDescent="0.3">
      <c r="A105" s="63"/>
      <c r="B105" s="63"/>
    </row>
    <row r="106" spans="1:2" ht="16.5" x14ac:dyDescent="0.3">
      <c r="A106" s="63"/>
      <c r="B106" s="63"/>
    </row>
    <row r="107" spans="1:2" ht="16.5" x14ac:dyDescent="0.3">
      <c r="A107" s="63"/>
      <c r="B107" s="63"/>
    </row>
    <row r="108" spans="1:2" ht="16.5" x14ac:dyDescent="0.3">
      <c r="A108" s="63"/>
      <c r="B108" s="63"/>
    </row>
    <row r="109" spans="1:2" ht="16.5" x14ac:dyDescent="0.3">
      <c r="A109" s="63"/>
      <c r="B109" s="63"/>
    </row>
    <row r="110" spans="1:2" ht="16.5" x14ac:dyDescent="0.3">
      <c r="A110" s="63"/>
      <c r="B110" s="63"/>
    </row>
    <row r="111" spans="1:2" ht="16.5" x14ac:dyDescent="0.3">
      <c r="A111" s="63"/>
      <c r="B111" s="63"/>
    </row>
    <row r="112" spans="1:2" ht="16.5" x14ac:dyDescent="0.3">
      <c r="A112" s="63"/>
      <c r="B112" s="63"/>
    </row>
    <row r="113" spans="1:2" ht="16.5" x14ac:dyDescent="0.3">
      <c r="A113" s="63"/>
      <c r="B113" s="63"/>
    </row>
    <row r="114" spans="1:2" ht="16.5" x14ac:dyDescent="0.3">
      <c r="A114" s="63"/>
      <c r="B114" s="63"/>
    </row>
    <row r="115" spans="1:2" ht="16.5" x14ac:dyDescent="0.3">
      <c r="A115" s="63"/>
      <c r="B115" s="63"/>
    </row>
    <row r="116" spans="1:2" ht="16.5" x14ac:dyDescent="0.3">
      <c r="A116" s="63"/>
      <c r="B116" s="63"/>
    </row>
    <row r="117" spans="1:2" ht="16.5" x14ac:dyDescent="0.3">
      <c r="A117" s="63"/>
      <c r="B117" s="63"/>
    </row>
    <row r="118" spans="1:2" ht="16.5" x14ac:dyDescent="0.3">
      <c r="A118" s="63"/>
      <c r="B118" s="63"/>
    </row>
    <row r="119" spans="1:2" ht="16.5" x14ac:dyDescent="0.3">
      <c r="A119" s="63"/>
      <c r="B119" s="63"/>
    </row>
    <row r="120" spans="1:2" ht="16.5" x14ac:dyDescent="0.3">
      <c r="A120" s="63"/>
      <c r="B120" s="63"/>
    </row>
    <row r="121" spans="1:2" ht="16.5" x14ac:dyDescent="0.3">
      <c r="A121" s="63"/>
      <c r="B121" s="63"/>
    </row>
    <row r="122" spans="1:2" ht="16.5" x14ac:dyDescent="0.3">
      <c r="A122" s="63"/>
      <c r="B122" s="63"/>
    </row>
    <row r="123" spans="1:2" ht="16.5" x14ac:dyDescent="0.3">
      <c r="A123" s="63"/>
      <c r="B123" s="63"/>
    </row>
    <row r="124" spans="1:2" ht="16.5" x14ac:dyDescent="0.3">
      <c r="A124" s="63"/>
      <c r="B124" s="63"/>
    </row>
    <row r="125" spans="1:2" ht="16.5" x14ac:dyDescent="0.3">
      <c r="A125" s="63"/>
      <c r="B125" s="63"/>
    </row>
    <row r="126" spans="1:2" ht="16.5" x14ac:dyDescent="0.3">
      <c r="A126" s="63"/>
      <c r="B126" s="63"/>
    </row>
    <row r="127" spans="1:2" ht="16.5" x14ac:dyDescent="0.3">
      <c r="A127" s="63"/>
      <c r="B127" s="63"/>
    </row>
    <row r="128" spans="1:2" ht="16.5" x14ac:dyDescent="0.3">
      <c r="A128" s="63"/>
      <c r="B128" s="63"/>
    </row>
    <row r="129" spans="1:2" ht="16.5" x14ac:dyDescent="0.3">
      <c r="A129" s="63"/>
      <c r="B129" s="63"/>
    </row>
    <row r="130" spans="1:2" ht="16.5" x14ac:dyDescent="0.3">
      <c r="A130" s="63"/>
      <c r="B130" s="63"/>
    </row>
    <row r="131" spans="1:2" ht="16.5" x14ac:dyDescent="0.3">
      <c r="A131" s="63"/>
      <c r="B131" s="63"/>
    </row>
    <row r="132" spans="1:2" ht="16.5" x14ac:dyDescent="0.3">
      <c r="A132" s="63"/>
      <c r="B132" s="63"/>
    </row>
    <row r="133" spans="1:2" ht="16.5" x14ac:dyDescent="0.3">
      <c r="A133" s="63"/>
      <c r="B133" s="63"/>
    </row>
    <row r="134" spans="1:2" ht="16.5" x14ac:dyDescent="0.3">
      <c r="A134" s="63"/>
      <c r="B134" s="63"/>
    </row>
    <row r="135" spans="1:2" ht="16.5" x14ac:dyDescent="0.3">
      <c r="A135" s="63"/>
      <c r="B135" s="63"/>
    </row>
    <row r="136" spans="1:2" ht="16.5" x14ac:dyDescent="0.3">
      <c r="A136" s="63"/>
      <c r="B136" s="63"/>
    </row>
    <row r="137" spans="1:2" ht="16.5" x14ac:dyDescent="0.3">
      <c r="A137" s="63"/>
      <c r="B137" s="63"/>
    </row>
    <row r="138" spans="1:2" ht="16.5" x14ac:dyDescent="0.3">
      <c r="A138" s="63"/>
      <c r="B138" s="63"/>
    </row>
    <row r="139" spans="1:2" ht="16.5" x14ac:dyDescent="0.3">
      <c r="A139" s="63"/>
      <c r="B139" s="63"/>
    </row>
    <row r="140" spans="1:2" ht="16.5" x14ac:dyDescent="0.3">
      <c r="A140" s="63"/>
      <c r="B140" s="63"/>
    </row>
    <row r="141" spans="1:2" ht="16.5" x14ac:dyDescent="0.3">
      <c r="A141" s="63"/>
      <c r="B141" s="63"/>
    </row>
    <row r="142" spans="1:2" ht="16.5" x14ac:dyDescent="0.3">
      <c r="A142" s="63"/>
      <c r="B142" s="63"/>
    </row>
    <row r="143" spans="1:2" ht="16.5" x14ac:dyDescent="0.3">
      <c r="A143" s="63"/>
      <c r="B143" s="63"/>
    </row>
    <row r="144" spans="1:2" ht="16.5" x14ac:dyDescent="0.3">
      <c r="A144" s="63"/>
      <c r="B144" s="63"/>
    </row>
    <row r="145" spans="1:2" ht="16.5" x14ac:dyDescent="0.3">
      <c r="A145" s="63"/>
      <c r="B145" s="63"/>
    </row>
    <row r="146" spans="1:2" ht="16.5" x14ac:dyDescent="0.3">
      <c r="A146" s="63"/>
      <c r="B146" s="63"/>
    </row>
    <row r="147" spans="1:2" ht="16.5" x14ac:dyDescent="0.3">
      <c r="A147" s="63"/>
      <c r="B147" s="63"/>
    </row>
    <row r="148" spans="1:2" ht="16.5" x14ac:dyDescent="0.3">
      <c r="A148" s="63"/>
      <c r="B148" s="63"/>
    </row>
    <row r="149" spans="1:2" ht="16.5" x14ac:dyDescent="0.3">
      <c r="A149" s="63"/>
      <c r="B149" s="63"/>
    </row>
    <row r="150" spans="1:2" ht="16.5" x14ac:dyDescent="0.3">
      <c r="A150" s="63"/>
      <c r="B150" s="63"/>
    </row>
    <row r="151" spans="1:2" ht="16.5" x14ac:dyDescent="0.3">
      <c r="A151" s="63"/>
      <c r="B151" s="63"/>
    </row>
    <row r="152" spans="1:2" ht="16.5" x14ac:dyDescent="0.3">
      <c r="A152" s="63"/>
      <c r="B152" s="63"/>
    </row>
    <row r="153" spans="1:2" ht="16.5" x14ac:dyDescent="0.3">
      <c r="A153" s="63"/>
      <c r="B153" s="63"/>
    </row>
    <row r="154" spans="1:2" ht="16.5" x14ac:dyDescent="0.3">
      <c r="A154" s="63"/>
      <c r="B154" s="63"/>
    </row>
    <row r="155" spans="1:2" ht="16.5" x14ac:dyDescent="0.3">
      <c r="A155" s="63"/>
      <c r="B155" s="63"/>
    </row>
    <row r="156" spans="1:2" ht="16.5" x14ac:dyDescent="0.3">
      <c r="A156" s="63"/>
      <c r="B156" s="63"/>
    </row>
    <row r="157" spans="1:2" ht="16.5" x14ac:dyDescent="0.3">
      <c r="A157" s="63"/>
      <c r="B157" s="63"/>
    </row>
    <row r="158" spans="1:2" ht="16.5" x14ac:dyDescent="0.3">
      <c r="A158" s="63"/>
      <c r="B158" s="63"/>
    </row>
    <row r="159" spans="1:2" ht="16.5" x14ac:dyDescent="0.3">
      <c r="A159" s="63"/>
      <c r="B159" s="63"/>
    </row>
    <row r="160" spans="1:2" ht="16.5" x14ac:dyDescent="0.3">
      <c r="A160" s="63"/>
      <c r="B160" s="63"/>
    </row>
    <row r="161" spans="1:2" ht="16.5" x14ac:dyDescent="0.3">
      <c r="A161" s="63"/>
      <c r="B161" s="63"/>
    </row>
    <row r="162" spans="1:2" ht="16.5" x14ac:dyDescent="0.3">
      <c r="A162" s="63"/>
      <c r="B162" s="63"/>
    </row>
    <row r="163" spans="1:2" ht="16.5" x14ac:dyDescent="0.3">
      <c r="A163" s="63"/>
      <c r="B163" s="63"/>
    </row>
    <row r="164" spans="1:2" ht="16.5" x14ac:dyDescent="0.3">
      <c r="A164" s="63"/>
      <c r="B164" s="63"/>
    </row>
    <row r="165" spans="1:2" ht="16.5" x14ac:dyDescent="0.3">
      <c r="A165" s="63"/>
      <c r="B165" s="63"/>
    </row>
    <row r="166" spans="1:2" ht="16.5" x14ac:dyDescent="0.3">
      <c r="A166" s="63"/>
      <c r="B166" s="63"/>
    </row>
    <row r="167" spans="1:2" ht="16.5" x14ac:dyDescent="0.3">
      <c r="A167" s="63"/>
      <c r="B167" s="63"/>
    </row>
    <row r="168" spans="1:2" ht="16.5" x14ac:dyDescent="0.3">
      <c r="A168" s="63"/>
      <c r="B168" s="63"/>
    </row>
    <row r="169" spans="1:2" ht="16.5" x14ac:dyDescent="0.3">
      <c r="A169" s="63"/>
      <c r="B169" s="63"/>
    </row>
    <row r="170" spans="1:2" ht="16.5" x14ac:dyDescent="0.3">
      <c r="A170" s="63"/>
      <c r="B170" s="63"/>
    </row>
    <row r="171" spans="1:2" ht="16.5" x14ac:dyDescent="0.3">
      <c r="A171" s="63"/>
      <c r="B171" s="63"/>
    </row>
    <row r="172" spans="1:2" ht="16.5" x14ac:dyDescent="0.3">
      <c r="A172" s="63"/>
      <c r="B172" s="63"/>
    </row>
    <row r="173" spans="1:2" ht="16.5" x14ac:dyDescent="0.3">
      <c r="A173" s="63"/>
      <c r="B173" s="63"/>
    </row>
    <row r="174" spans="1:2" ht="16.5" x14ac:dyDescent="0.3">
      <c r="A174" s="63"/>
      <c r="B174" s="63"/>
    </row>
    <row r="175" spans="1:2" ht="16.5" x14ac:dyDescent="0.3">
      <c r="A175" s="63"/>
      <c r="B175" s="63"/>
    </row>
    <row r="176" spans="1:2" ht="16.5" x14ac:dyDescent="0.3">
      <c r="A176" s="63"/>
      <c r="B176" s="63"/>
    </row>
    <row r="177" spans="1:2" ht="16.5" x14ac:dyDescent="0.3">
      <c r="A177" s="63"/>
      <c r="B177" s="63"/>
    </row>
    <row r="178" spans="1:2" ht="16.5" x14ac:dyDescent="0.3">
      <c r="A178" s="63"/>
      <c r="B178" s="63"/>
    </row>
    <row r="179" spans="1:2" ht="16.5" x14ac:dyDescent="0.3">
      <c r="A179" s="63"/>
      <c r="B179" s="63"/>
    </row>
    <row r="180" spans="1:2" ht="16.5" x14ac:dyDescent="0.3">
      <c r="A180" s="63"/>
      <c r="B180" s="63"/>
    </row>
    <row r="181" spans="1:2" ht="16.5" x14ac:dyDescent="0.3">
      <c r="A181" s="63"/>
      <c r="B181" s="63"/>
    </row>
    <row r="182" spans="1:2" ht="16.5" x14ac:dyDescent="0.3">
      <c r="A182" s="63"/>
      <c r="B182" s="63"/>
    </row>
    <row r="183" spans="1:2" ht="16.5" x14ac:dyDescent="0.3">
      <c r="A183" s="63"/>
      <c r="B183" s="63"/>
    </row>
    <row r="184" spans="1:2" ht="16.5" x14ac:dyDescent="0.3">
      <c r="A184" s="63"/>
      <c r="B184" s="63"/>
    </row>
    <row r="185" spans="1:2" ht="16.5" x14ac:dyDescent="0.3">
      <c r="A185" s="63"/>
      <c r="B185" s="63"/>
    </row>
    <row r="186" spans="1:2" ht="16.5" x14ac:dyDescent="0.3">
      <c r="A186" s="63"/>
      <c r="B186" s="63"/>
    </row>
    <row r="187" spans="1:2" ht="16.5" x14ac:dyDescent="0.3">
      <c r="A187" s="63"/>
      <c r="B187" s="63"/>
    </row>
    <row r="188" spans="1:2" ht="16.5" x14ac:dyDescent="0.3">
      <c r="A188" s="63"/>
      <c r="B188" s="63"/>
    </row>
    <row r="189" spans="1:2" ht="16.5" x14ac:dyDescent="0.3">
      <c r="A189" s="63"/>
      <c r="B189" s="63"/>
    </row>
    <row r="190" spans="1:2" ht="16.5" x14ac:dyDescent="0.3">
      <c r="A190" s="63"/>
      <c r="B190" s="63"/>
    </row>
    <row r="191" spans="1:2" ht="16.5" x14ac:dyDescent="0.3">
      <c r="A191" s="63"/>
      <c r="B191" s="63"/>
    </row>
    <row r="192" spans="1:2" ht="16.5" x14ac:dyDescent="0.3">
      <c r="A192" s="63"/>
      <c r="B192" s="63"/>
    </row>
    <row r="193" spans="1:2" ht="16.5" x14ac:dyDescent="0.3">
      <c r="A193" s="63"/>
      <c r="B193" s="63"/>
    </row>
    <row r="194" spans="1:2" ht="16.5" x14ac:dyDescent="0.3">
      <c r="A194" s="63"/>
      <c r="B194" s="63"/>
    </row>
    <row r="195" spans="1:2" ht="16.5" x14ac:dyDescent="0.3">
      <c r="A195" s="63"/>
      <c r="B195" s="63"/>
    </row>
    <row r="196" spans="1:2" ht="16.5" x14ac:dyDescent="0.3">
      <c r="A196" s="63"/>
      <c r="B196" s="63"/>
    </row>
    <row r="197" spans="1:2" ht="16.5" x14ac:dyDescent="0.3">
      <c r="A197" s="63"/>
      <c r="B197" s="63"/>
    </row>
    <row r="198" spans="1:2" ht="16.5" x14ac:dyDescent="0.3">
      <c r="A198" s="63"/>
      <c r="B198" s="63"/>
    </row>
    <row r="199" spans="1:2" ht="16.5" x14ac:dyDescent="0.3">
      <c r="A199" s="63"/>
      <c r="B199" s="63"/>
    </row>
    <row r="200" spans="1:2" ht="16.5" x14ac:dyDescent="0.3">
      <c r="A200" s="63"/>
      <c r="B200" s="63"/>
    </row>
    <row r="201" spans="1:2" ht="16.5" x14ac:dyDescent="0.3">
      <c r="A201" s="63"/>
      <c r="B201" s="63"/>
    </row>
    <row r="202" spans="1:2" ht="16.5" x14ac:dyDescent="0.3">
      <c r="A202" s="63"/>
      <c r="B202" s="63"/>
    </row>
    <row r="203" spans="1:2" ht="16.5" x14ac:dyDescent="0.3">
      <c r="A203" s="63"/>
      <c r="B203" s="63"/>
    </row>
    <row r="204" spans="1:2" ht="16.5" x14ac:dyDescent="0.3">
      <c r="A204" s="63"/>
      <c r="B204" s="63"/>
    </row>
    <row r="205" spans="1:2" ht="16.5" x14ac:dyDescent="0.3">
      <c r="A205" s="63"/>
      <c r="B205" s="63"/>
    </row>
    <row r="206" spans="1:2" ht="16.5" x14ac:dyDescent="0.3">
      <c r="A206" s="63"/>
      <c r="B206" s="63"/>
    </row>
    <row r="207" spans="1:2" ht="16.5" x14ac:dyDescent="0.3">
      <c r="A207" s="63"/>
      <c r="B207" s="63"/>
    </row>
    <row r="208" spans="1:2" ht="16.5" x14ac:dyDescent="0.3">
      <c r="A208" s="63"/>
      <c r="B208" s="63"/>
    </row>
    <row r="209" spans="1:2" ht="16.5" x14ac:dyDescent="0.3">
      <c r="A209" s="63"/>
      <c r="B209" s="63"/>
    </row>
    <row r="210" spans="1:2" ht="16.5" x14ac:dyDescent="0.3">
      <c r="A210" s="63"/>
      <c r="B210" s="63"/>
    </row>
    <row r="211" spans="1:2" ht="16.5" x14ac:dyDescent="0.3">
      <c r="A211" s="63"/>
      <c r="B211" s="63"/>
    </row>
    <row r="212" spans="1:2" ht="16.5" x14ac:dyDescent="0.3">
      <c r="A212" s="63"/>
      <c r="B212" s="63"/>
    </row>
    <row r="213" spans="1:2" ht="16.5" x14ac:dyDescent="0.3">
      <c r="A213" s="63"/>
      <c r="B213" s="63"/>
    </row>
    <row r="214" spans="1:2" ht="16.5" x14ac:dyDescent="0.3">
      <c r="A214" s="63"/>
      <c r="B214" s="63"/>
    </row>
    <row r="215" spans="1:2" ht="16.5" x14ac:dyDescent="0.3">
      <c r="A215" s="63"/>
      <c r="B215" s="63"/>
    </row>
    <row r="216" spans="1:2" ht="16.5" x14ac:dyDescent="0.3">
      <c r="A216" s="63"/>
      <c r="B216" s="63"/>
    </row>
    <row r="217" spans="1:2" ht="16.5" x14ac:dyDescent="0.3">
      <c r="A217" s="63"/>
      <c r="B217" s="63"/>
    </row>
    <row r="218" spans="1:2" ht="16.5" x14ac:dyDescent="0.3">
      <c r="A218" s="63"/>
      <c r="B218" s="63"/>
    </row>
    <row r="219" spans="1:2" ht="16.5" x14ac:dyDescent="0.3">
      <c r="A219" s="63"/>
      <c r="B219" s="63"/>
    </row>
    <row r="220" spans="1:2" ht="16.5" x14ac:dyDescent="0.3">
      <c r="A220" s="63"/>
      <c r="B220" s="63"/>
    </row>
    <row r="221" spans="1:2" ht="16.5" x14ac:dyDescent="0.3">
      <c r="A221" s="63"/>
      <c r="B221" s="63"/>
    </row>
    <row r="222" spans="1:2" ht="16.5" x14ac:dyDescent="0.3">
      <c r="A222" s="63"/>
      <c r="B222" s="63"/>
    </row>
    <row r="223" spans="1:2" ht="16.5" x14ac:dyDescent="0.3">
      <c r="A223" s="63"/>
      <c r="B223" s="63"/>
    </row>
    <row r="224" spans="1:2" ht="16.5" x14ac:dyDescent="0.3">
      <c r="A224" s="63"/>
      <c r="B224" s="63"/>
    </row>
    <row r="225" spans="1:2" ht="16.5" x14ac:dyDescent="0.3">
      <c r="A225" s="63"/>
      <c r="B225" s="63"/>
    </row>
    <row r="226" spans="1:2" ht="16.5" x14ac:dyDescent="0.3">
      <c r="A226" s="63"/>
      <c r="B226" s="63"/>
    </row>
    <row r="227" spans="1:2" ht="16.5" x14ac:dyDescent="0.3">
      <c r="A227" s="63"/>
      <c r="B227" s="63"/>
    </row>
    <row r="228" spans="1:2" ht="16.5" x14ac:dyDescent="0.3">
      <c r="A228" s="63"/>
      <c r="B228" s="63"/>
    </row>
    <row r="229" spans="1:2" ht="16.5" x14ac:dyDescent="0.3">
      <c r="A229" s="63"/>
      <c r="B229" s="63"/>
    </row>
    <row r="230" spans="1:2" ht="16.5" x14ac:dyDescent="0.3">
      <c r="A230" s="63"/>
      <c r="B230" s="63"/>
    </row>
    <row r="231" spans="1:2" ht="16.5" x14ac:dyDescent="0.3">
      <c r="A231" s="63"/>
      <c r="B231" s="63"/>
    </row>
    <row r="232" spans="1:2" ht="16.5" x14ac:dyDescent="0.3">
      <c r="A232" s="63"/>
      <c r="B232" s="63"/>
    </row>
    <row r="233" spans="1:2" ht="16.5" x14ac:dyDescent="0.3">
      <c r="A233" s="63"/>
      <c r="B233" s="63"/>
    </row>
    <row r="234" spans="1:2" ht="16.5" x14ac:dyDescent="0.3">
      <c r="A234" s="63"/>
      <c r="B234" s="63"/>
    </row>
    <row r="235" spans="1:2" ht="16.5" x14ac:dyDescent="0.3">
      <c r="A235" s="63"/>
      <c r="B235" s="63"/>
    </row>
    <row r="236" spans="1:2" ht="16.5" x14ac:dyDescent="0.3">
      <c r="A236" s="63"/>
      <c r="B236" s="63"/>
    </row>
    <row r="237" spans="1:2" ht="16.5" x14ac:dyDescent="0.3">
      <c r="A237" s="63"/>
      <c r="B237" s="63"/>
    </row>
    <row r="238" spans="1:2" ht="16.5" x14ac:dyDescent="0.3">
      <c r="A238" s="63"/>
      <c r="B238" s="63"/>
    </row>
    <row r="239" spans="1:2" ht="16.5" x14ac:dyDescent="0.3">
      <c r="A239" s="63"/>
      <c r="B239" s="63"/>
    </row>
    <row r="240" spans="1:2" ht="16.5" x14ac:dyDescent="0.3">
      <c r="A240" s="63"/>
      <c r="B240" s="63"/>
    </row>
    <row r="241" spans="1:2" ht="16.5" x14ac:dyDescent="0.3">
      <c r="A241" s="63"/>
      <c r="B241" s="63"/>
    </row>
    <row r="242" spans="1:2" ht="16.5" x14ac:dyDescent="0.3">
      <c r="A242" s="63"/>
      <c r="B242" s="63"/>
    </row>
    <row r="243" spans="1:2" ht="16.5" x14ac:dyDescent="0.3">
      <c r="A243" s="63"/>
      <c r="B243" s="63"/>
    </row>
    <row r="244" spans="1:2" ht="16.5" x14ac:dyDescent="0.3">
      <c r="A244" s="63"/>
      <c r="B244" s="63"/>
    </row>
    <row r="245" spans="1:2" ht="16.5" x14ac:dyDescent="0.3">
      <c r="A245" s="63"/>
      <c r="B245" s="63"/>
    </row>
    <row r="246" spans="1:2" ht="16.5" x14ac:dyDescent="0.3">
      <c r="A246" s="63"/>
      <c r="B246" s="63"/>
    </row>
    <row r="247" spans="1:2" ht="16.5" x14ac:dyDescent="0.3">
      <c r="A247" s="63"/>
      <c r="B247" s="63"/>
    </row>
    <row r="248" spans="1:2" ht="16.5" x14ac:dyDescent="0.3">
      <c r="A248" s="63"/>
      <c r="B248" s="63"/>
    </row>
    <row r="249" spans="1:2" ht="16.5" x14ac:dyDescent="0.3">
      <c r="A249" s="63"/>
      <c r="B249" s="63"/>
    </row>
    <row r="250" spans="1:2" ht="16.5" x14ac:dyDescent="0.3">
      <c r="A250" s="63"/>
      <c r="B250" s="63"/>
    </row>
    <row r="251" spans="1:2" ht="16.5" x14ac:dyDescent="0.3">
      <c r="A251" s="63"/>
      <c r="B251" s="63"/>
    </row>
    <row r="252" spans="1:2" ht="16.5" x14ac:dyDescent="0.3">
      <c r="A252" s="63"/>
      <c r="B252" s="63"/>
    </row>
    <row r="253" spans="1:2" ht="16.5" x14ac:dyDescent="0.3">
      <c r="A253" s="63"/>
      <c r="B253" s="63"/>
    </row>
    <row r="254" spans="1:2" ht="16.5" x14ac:dyDescent="0.3">
      <c r="A254" s="63"/>
      <c r="B254" s="63"/>
    </row>
    <row r="255" spans="1:2" ht="16.5" x14ac:dyDescent="0.3">
      <c r="A255" s="63"/>
      <c r="B255" s="63"/>
    </row>
    <row r="256" spans="1:2" ht="16.5" x14ac:dyDescent="0.3">
      <c r="A256" s="63"/>
      <c r="B256" s="63"/>
    </row>
    <row r="257" spans="1:2" ht="16.5" x14ac:dyDescent="0.3">
      <c r="A257" s="63"/>
      <c r="B257" s="63"/>
    </row>
    <row r="258" spans="1:2" ht="16.5" x14ac:dyDescent="0.3">
      <c r="A258" s="63"/>
      <c r="B258" s="63"/>
    </row>
    <row r="259" spans="1:2" ht="16.5" x14ac:dyDescent="0.3">
      <c r="A259" s="63"/>
      <c r="B259" s="63"/>
    </row>
    <row r="260" spans="1:2" ht="16.5" x14ac:dyDescent="0.3">
      <c r="A260" s="63"/>
      <c r="B260" s="63"/>
    </row>
    <row r="261" spans="1:2" ht="16.5" x14ac:dyDescent="0.3">
      <c r="A261" s="63"/>
      <c r="B261" s="63"/>
    </row>
    <row r="262" spans="1:2" ht="16.5" x14ac:dyDescent="0.3">
      <c r="A262" s="63"/>
      <c r="B262" s="63"/>
    </row>
    <row r="263" spans="1:2" ht="16.5" x14ac:dyDescent="0.3">
      <c r="A263" s="63"/>
      <c r="B263" s="63"/>
    </row>
    <row r="264" spans="1:2" ht="16.5" x14ac:dyDescent="0.3">
      <c r="A264" s="63"/>
      <c r="B264" s="63"/>
    </row>
    <row r="265" spans="1:2" ht="16.5" x14ac:dyDescent="0.3">
      <c r="A265" s="63"/>
      <c r="B265" s="63"/>
    </row>
    <row r="266" spans="1:2" ht="16.5" x14ac:dyDescent="0.3">
      <c r="A266" s="63"/>
      <c r="B266" s="63"/>
    </row>
    <row r="267" spans="1:2" ht="16.5" x14ac:dyDescent="0.3">
      <c r="A267" s="63"/>
      <c r="B267" s="63"/>
    </row>
    <row r="268" spans="1:2" ht="16.5" x14ac:dyDescent="0.3">
      <c r="A268" s="63"/>
      <c r="B268" s="63"/>
    </row>
    <row r="269" spans="1:2" ht="16.5" x14ac:dyDescent="0.3">
      <c r="A269" s="63"/>
      <c r="B269" s="63"/>
    </row>
    <row r="270" spans="1:2" ht="16.5" x14ac:dyDescent="0.3">
      <c r="A270" s="63"/>
      <c r="B270" s="63"/>
    </row>
    <row r="271" spans="1:2" ht="16.5" x14ac:dyDescent="0.3">
      <c r="A271" s="63"/>
      <c r="B271" s="63"/>
    </row>
    <row r="272" spans="1:2" ht="16.5" x14ac:dyDescent="0.3">
      <c r="A272" s="63"/>
      <c r="B272" s="63"/>
    </row>
    <row r="273" spans="1:2" ht="16.5" x14ac:dyDescent="0.3">
      <c r="A273" s="63"/>
      <c r="B273" s="63"/>
    </row>
    <row r="274" spans="1:2" ht="16.5" x14ac:dyDescent="0.3">
      <c r="A274" s="63"/>
      <c r="B274" s="63"/>
    </row>
    <row r="275" spans="1:2" ht="16.5" x14ac:dyDescent="0.3">
      <c r="A275" s="63"/>
      <c r="B275" s="63"/>
    </row>
    <row r="276" spans="1:2" ht="16.5" x14ac:dyDescent="0.3">
      <c r="A276" s="63"/>
      <c r="B276" s="63"/>
    </row>
    <row r="277" spans="1:2" ht="16.5" x14ac:dyDescent="0.3">
      <c r="A277" s="63"/>
      <c r="B277" s="63"/>
    </row>
    <row r="278" spans="1:2" ht="16.5" x14ac:dyDescent="0.3">
      <c r="A278" s="63"/>
      <c r="B278" s="63"/>
    </row>
    <row r="279" spans="1:2" ht="16.5" x14ac:dyDescent="0.3">
      <c r="A279" s="63"/>
      <c r="B279" s="63"/>
    </row>
    <row r="280" spans="1:2" ht="16.5" x14ac:dyDescent="0.3">
      <c r="A280" s="63"/>
      <c r="B280" s="63"/>
    </row>
    <row r="281" spans="1:2" ht="16.5" x14ac:dyDescent="0.3">
      <c r="A281" s="63"/>
      <c r="B281" s="63"/>
    </row>
    <row r="282" spans="1:2" ht="16.5" x14ac:dyDescent="0.3">
      <c r="A282" s="63"/>
      <c r="B282" s="63"/>
    </row>
    <row r="283" spans="1:2" ht="16.5" x14ac:dyDescent="0.3">
      <c r="A283" s="63"/>
      <c r="B283" s="63"/>
    </row>
    <row r="284" spans="1:2" ht="16.5" x14ac:dyDescent="0.3">
      <c r="A284" s="63"/>
      <c r="B284" s="63"/>
    </row>
    <row r="285" spans="1:2" ht="16.5" x14ac:dyDescent="0.3">
      <c r="A285" s="63"/>
      <c r="B285" s="63"/>
    </row>
    <row r="286" spans="1:2" ht="16.5" x14ac:dyDescent="0.3">
      <c r="A286" s="63"/>
      <c r="B286" s="63"/>
    </row>
    <row r="287" spans="1:2" ht="16.5" x14ac:dyDescent="0.3">
      <c r="A287" s="63"/>
      <c r="B287" s="63"/>
    </row>
    <row r="288" spans="1:2" ht="16.5" x14ac:dyDescent="0.3">
      <c r="A288" s="63"/>
      <c r="B288" s="63"/>
    </row>
    <row r="289" spans="1:2" ht="16.5" x14ac:dyDescent="0.3">
      <c r="A289" s="63"/>
      <c r="B289" s="63"/>
    </row>
    <row r="290" spans="1:2" ht="16.5" x14ac:dyDescent="0.3">
      <c r="A290" s="63"/>
      <c r="B290" s="63"/>
    </row>
    <row r="291" spans="1:2" ht="16.5" x14ac:dyDescent="0.3">
      <c r="A291" s="63"/>
      <c r="B291" s="63"/>
    </row>
    <row r="292" spans="1:2" ht="16.5" x14ac:dyDescent="0.3">
      <c r="A292" s="63"/>
      <c r="B292" s="63"/>
    </row>
    <row r="293" spans="1:2" ht="16.5" x14ac:dyDescent="0.3">
      <c r="A293" s="63"/>
      <c r="B293" s="63"/>
    </row>
    <row r="294" spans="1:2" ht="16.5" x14ac:dyDescent="0.3">
      <c r="A294" s="63"/>
      <c r="B294" s="63"/>
    </row>
    <row r="295" spans="1:2" ht="16.5" x14ac:dyDescent="0.3">
      <c r="A295" s="63"/>
      <c r="B295" s="63"/>
    </row>
    <row r="296" spans="1:2" ht="16.5" x14ac:dyDescent="0.3">
      <c r="A296" s="63"/>
      <c r="B296" s="63"/>
    </row>
    <row r="297" spans="1:2" ht="16.5" x14ac:dyDescent="0.3">
      <c r="A297" s="63"/>
      <c r="B297" s="63"/>
    </row>
    <row r="298" spans="1:2" ht="16.5" x14ac:dyDescent="0.3">
      <c r="A298" s="63"/>
      <c r="B298" s="63"/>
    </row>
    <row r="299" spans="1:2" ht="16.5" x14ac:dyDescent="0.3">
      <c r="A299" s="63"/>
      <c r="B299" s="63"/>
    </row>
    <row r="300" spans="1:2" ht="16.5" x14ac:dyDescent="0.3">
      <c r="A300" s="63"/>
      <c r="B300" s="63"/>
    </row>
    <row r="301" spans="1:2" ht="16.5" x14ac:dyDescent="0.3">
      <c r="A301" s="63"/>
      <c r="B301" s="63"/>
    </row>
    <row r="302" spans="1:2" ht="16.5" x14ac:dyDescent="0.3">
      <c r="A302" s="63"/>
      <c r="B302" s="63"/>
    </row>
    <row r="303" spans="1:2" ht="16.5" x14ac:dyDescent="0.3">
      <c r="A303" s="63"/>
      <c r="B303" s="63"/>
    </row>
    <row r="304" spans="1:2" ht="16.5" x14ac:dyDescent="0.3">
      <c r="A304" s="63"/>
      <c r="B304" s="63"/>
    </row>
    <row r="305" spans="1:2" ht="16.5" x14ac:dyDescent="0.3">
      <c r="A305" s="63"/>
      <c r="B305" s="63"/>
    </row>
    <row r="306" spans="1:2" ht="16.5" x14ac:dyDescent="0.3">
      <c r="A306" s="63"/>
      <c r="B306" s="63"/>
    </row>
    <row r="307" spans="1:2" ht="16.5" x14ac:dyDescent="0.3">
      <c r="A307" s="63"/>
      <c r="B307" s="63"/>
    </row>
    <row r="308" spans="1:2" ht="16.5" x14ac:dyDescent="0.3">
      <c r="A308" s="63"/>
      <c r="B308" s="63"/>
    </row>
    <row r="309" spans="1:2" ht="16.5" x14ac:dyDescent="0.3">
      <c r="A309" s="63"/>
      <c r="B309" s="63"/>
    </row>
    <row r="310" spans="1:2" ht="16.5" x14ac:dyDescent="0.3">
      <c r="A310" s="63"/>
      <c r="B310" s="63"/>
    </row>
    <row r="311" spans="1:2" ht="16.5" x14ac:dyDescent="0.3">
      <c r="A311" s="63"/>
      <c r="B311" s="63"/>
    </row>
    <row r="312" spans="1:2" ht="16.5" x14ac:dyDescent="0.3">
      <c r="A312" s="63"/>
      <c r="B312" s="63"/>
    </row>
    <row r="313" spans="1:2" ht="16.5" x14ac:dyDescent="0.3">
      <c r="A313" s="63"/>
      <c r="B313" s="63"/>
    </row>
    <row r="314" spans="1:2" ht="16.5" x14ac:dyDescent="0.3">
      <c r="A314" s="63"/>
      <c r="B314" s="63"/>
    </row>
    <row r="315" spans="1:2" ht="16.5" x14ac:dyDescent="0.3">
      <c r="A315" s="63"/>
      <c r="B315" s="63"/>
    </row>
    <row r="316" spans="1:2" ht="16.5" x14ac:dyDescent="0.3">
      <c r="A316" s="63"/>
      <c r="B316" s="63"/>
    </row>
    <row r="317" spans="1:2" ht="16.5" x14ac:dyDescent="0.3">
      <c r="A317" s="63"/>
      <c r="B317" s="63"/>
    </row>
    <row r="318" spans="1:2" ht="16.5" x14ac:dyDescent="0.3">
      <c r="A318" s="63"/>
      <c r="B318" s="63"/>
    </row>
    <row r="319" spans="1:2" ht="16.5" x14ac:dyDescent="0.3">
      <c r="A319" s="63"/>
      <c r="B319" s="63"/>
    </row>
    <row r="320" spans="1:2" ht="16.5" x14ac:dyDescent="0.3">
      <c r="A320" s="63"/>
      <c r="B320" s="63"/>
    </row>
    <row r="321" spans="1:2" ht="16.5" x14ac:dyDescent="0.3">
      <c r="A321" s="63"/>
      <c r="B321" s="63"/>
    </row>
    <row r="322" spans="1:2" ht="16.5" x14ac:dyDescent="0.3">
      <c r="A322" s="63"/>
      <c r="B322" s="63"/>
    </row>
    <row r="323" spans="1:2" ht="16.5" x14ac:dyDescent="0.3">
      <c r="A323" s="63"/>
      <c r="B323" s="63"/>
    </row>
    <row r="324" spans="1:2" ht="16.5" x14ac:dyDescent="0.3">
      <c r="A324" s="63"/>
      <c r="B324" s="63"/>
    </row>
    <row r="325" spans="1:2" ht="16.5" x14ac:dyDescent="0.3">
      <c r="A325" s="63"/>
      <c r="B325" s="63"/>
    </row>
    <row r="326" spans="1:2" ht="16.5" x14ac:dyDescent="0.3">
      <c r="A326" s="63"/>
      <c r="B326" s="63"/>
    </row>
    <row r="327" spans="1:2" ht="16.5" x14ac:dyDescent="0.3">
      <c r="A327" s="63"/>
      <c r="B327" s="63"/>
    </row>
    <row r="328" spans="1:2" ht="16.5" x14ac:dyDescent="0.3">
      <c r="A328" s="63"/>
      <c r="B328" s="63"/>
    </row>
    <row r="329" spans="1:2" ht="16.5" x14ac:dyDescent="0.3">
      <c r="A329" s="63"/>
      <c r="B329" s="63"/>
    </row>
    <row r="330" spans="1:2" ht="16.5" x14ac:dyDescent="0.3">
      <c r="A330" s="63"/>
      <c r="B330" s="63"/>
    </row>
    <row r="331" spans="1:2" ht="16.5" x14ac:dyDescent="0.3">
      <c r="A331" s="63"/>
      <c r="B331" s="63"/>
    </row>
    <row r="332" spans="1:2" ht="16.5" x14ac:dyDescent="0.3">
      <c r="A332" s="63"/>
      <c r="B332" s="63"/>
    </row>
    <row r="333" spans="1:2" ht="16.5" x14ac:dyDescent="0.3">
      <c r="A333" s="63"/>
      <c r="B333" s="63"/>
    </row>
    <row r="334" spans="1:2" ht="16.5" x14ac:dyDescent="0.3">
      <c r="A334" s="63"/>
      <c r="B334" s="63"/>
    </row>
    <row r="335" spans="1:2" ht="16.5" x14ac:dyDescent="0.3">
      <c r="A335" s="63"/>
      <c r="B335" s="63"/>
    </row>
    <row r="336" spans="1:2" ht="16.5" x14ac:dyDescent="0.3">
      <c r="A336" s="63"/>
      <c r="B336" s="63"/>
    </row>
    <row r="337" spans="1:2" ht="16.5" x14ac:dyDescent="0.3">
      <c r="A337" s="63"/>
      <c r="B337" s="63"/>
    </row>
    <row r="338" spans="1:2" ht="16.5" x14ac:dyDescent="0.3">
      <c r="A338" s="63"/>
      <c r="B338" s="63"/>
    </row>
    <row r="339" spans="1:2" ht="16.5" x14ac:dyDescent="0.3">
      <c r="A339" s="63"/>
      <c r="B339" s="63"/>
    </row>
    <row r="340" spans="1:2" ht="16.5" x14ac:dyDescent="0.3">
      <c r="A340" s="63"/>
      <c r="B340" s="63"/>
    </row>
    <row r="341" spans="1:2" ht="16.5" x14ac:dyDescent="0.3">
      <c r="A341" s="63"/>
      <c r="B341" s="63"/>
    </row>
    <row r="342" spans="1:2" ht="16.5" x14ac:dyDescent="0.3">
      <c r="A342" s="63"/>
      <c r="B342" s="63"/>
    </row>
    <row r="343" spans="1:2" ht="16.5" x14ac:dyDescent="0.3">
      <c r="A343" s="63"/>
      <c r="B343" s="63"/>
    </row>
    <row r="344" spans="1:2" ht="16.5" x14ac:dyDescent="0.3">
      <c r="A344" s="63"/>
      <c r="B344" s="63"/>
    </row>
    <row r="345" spans="1:2" ht="16.5" x14ac:dyDescent="0.3">
      <c r="A345" s="63"/>
      <c r="B345" s="63"/>
    </row>
    <row r="346" spans="1:2" ht="16.5" x14ac:dyDescent="0.3">
      <c r="A346" s="63"/>
      <c r="B346" s="63"/>
    </row>
    <row r="347" spans="1:2" ht="16.5" x14ac:dyDescent="0.3">
      <c r="A347" s="63"/>
      <c r="B347" s="63"/>
    </row>
    <row r="348" spans="1:2" ht="16.5" x14ac:dyDescent="0.3">
      <c r="A348" s="63"/>
      <c r="B348" s="63"/>
    </row>
    <row r="349" spans="1:2" ht="16.5" x14ac:dyDescent="0.3">
      <c r="A349" s="63"/>
      <c r="B349" s="63"/>
    </row>
    <row r="350" spans="1:2" ht="16.5" x14ac:dyDescent="0.3">
      <c r="A350" s="63"/>
      <c r="B350" s="63"/>
    </row>
    <row r="351" spans="1:2" ht="16.5" x14ac:dyDescent="0.3">
      <c r="A351" s="63"/>
      <c r="B351" s="63"/>
    </row>
    <row r="352" spans="1:2" ht="16.5" x14ac:dyDescent="0.3">
      <c r="A352" s="63"/>
      <c r="B352" s="63"/>
    </row>
    <row r="353" spans="1:2" ht="16.5" x14ac:dyDescent="0.3">
      <c r="A353" s="63"/>
      <c r="B353" s="63"/>
    </row>
    <row r="354" spans="1:2" ht="16.5" x14ac:dyDescent="0.3">
      <c r="A354" s="63"/>
      <c r="B354" s="63"/>
    </row>
    <row r="355" spans="1:2" ht="16.5" x14ac:dyDescent="0.3">
      <c r="A355" s="63"/>
      <c r="B355" s="63"/>
    </row>
    <row r="356" spans="1:2" ht="16.5" x14ac:dyDescent="0.3">
      <c r="A356" s="63"/>
      <c r="B356" s="63"/>
    </row>
    <row r="357" spans="1:2" ht="16.5" x14ac:dyDescent="0.3">
      <c r="A357" s="63"/>
      <c r="B357" s="63"/>
    </row>
    <row r="358" spans="1:2" ht="16.5" x14ac:dyDescent="0.3">
      <c r="A358" s="63"/>
      <c r="B358" s="63"/>
    </row>
    <row r="359" spans="1:2" ht="16.5" x14ac:dyDescent="0.3">
      <c r="A359" s="63"/>
      <c r="B359" s="63"/>
    </row>
    <row r="360" spans="1:2" ht="16.5" x14ac:dyDescent="0.3">
      <c r="A360" s="63"/>
      <c r="B360" s="63"/>
    </row>
    <row r="361" spans="1:2" ht="16.5" x14ac:dyDescent="0.3">
      <c r="A361" s="63"/>
      <c r="B361" s="63"/>
    </row>
    <row r="362" spans="1:2" ht="16.5" x14ac:dyDescent="0.3">
      <c r="A362" s="63"/>
      <c r="B362" s="63"/>
    </row>
    <row r="363" spans="1:2" ht="16.5" x14ac:dyDescent="0.3">
      <c r="A363" s="63"/>
      <c r="B363" s="63"/>
    </row>
    <row r="364" spans="1:2" ht="16.5" x14ac:dyDescent="0.3">
      <c r="A364" s="63"/>
      <c r="B364" s="63"/>
    </row>
    <row r="365" spans="1:2" ht="16.5" x14ac:dyDescent="0.3">
      <c r="A365" s="63"/>
      <c r="B365" s="63"/>
    </row>
    <row r="366" spans="1:2" ht="16.5" x14ac:dyDescent="0.3">
      <c r="A366" s="63"/>
      <c r="B366" s="63"/>
    </row>
    <row r="367" spans="1:2" ht="16.5" x14ac:dyDescent="0.3">
      <c r="A367" s="63"/>
      <c r="B367" s="63"/>
    </row>
    <row r="368" spans="1:2" ht="16.5" x14ac:dyDescent="0.3">
      <c r="A368" s="63"/>
      <c r="B368" s="63"/>
    </row>
    <row r="369" spans="1:2" ht="16.5" x14ac:dyDescent="0.3">
      <c r="A369" s="63"/>
      <c r="B369" s="63"/>
    </row>
    <row r="370" spans="1:2" ht="16.5" x14ac:dyDescent="0.3">
      <c r="A370" s="63"/>
      <c r="B370" s="63"/>
    </row>
    <row r="371" spans="1:2" ht="16.5" x14ac:dyDescent="0.3">
      <c r="A371" s="63"/>
      <c r="B371" s="63"/>
    </row>
    <row r="372" spans="1:2" ht="16.5" x14ac:dyDescent="0.3">
      <c r="A372" s="63"/>
      <c r="B372" s="63"/>
    </row>
    <row r="373" spans="1:2" ht="16.5" x14ac:dyDescent="0.3">
      <c r="A373" s="63"/>
      <c r="B373" s="63"/>
    </row>
    <row r="374" spans="1:2" ht="16.5" x14ac:dyDescent="0.3">
      <c r="A374" s="63"/>
      <c r="B374" s="63"/>
    </row>
    <row r="375" spans="1:2" ht="16.5" x14ac:dyDescent="0.3">
      <c r="A375" s="63"/>
      <c r="B375" s="63"/>
    </row>
    <row r="376" spans="1:2" ht="16.5" x14ac:dyDescent="0.3">
      <c r="A376" s="63"/>
      <c r="B376" s="63"/>
    </row>
    <row r="377" spans="1:2" ht="16.5" x14ac:dyDescent="0.3">
      <c r="A377" s="63"/>
      <c r="B377" s="63"/>
    </row>
    <row r="378" spans="1:2" ht="16.5" x14ac:dyDescent="0.3">
      <c r="A378" s="63"/>
      <c r="B378" s="63"/>
    </row>
    <row r="379" spans="1:2" ht="16.5" x14ac:dyDescent="0.3">
      <c r="A379" s="63"/>
      <c r="B379" s="63"/>
    </row>
    <row r="380" spans="1:2" ht="16.5" x14ac:dyDescent="0.3">
      <c r="A380" s="63"/>
      <c r="B380" s="63"/>
    </row>
    <row r="381" spans="1:2" ht="16.5" x14ac:dyDescent="0.3">
      <c r="A381" s="63"/>
      <c r="B381" s="63"/>
    </row>
    <row r="382" spans="1:2" ht="16.5" x14ac:dyDescent="0.3">
      <c r="A382" s="63"/>
      <c r="B382" s="63"/>
    </row>
    <row r="383" spans="1:2" ht="16.5" x14ac:dyDescent="0.3">
      <c r="A383" s="63"/>
      <c r="B383" s="63"/>
    </row>
    <row r="384" spans="1:2" ht="16.5" x14ac:dyDescent="0.3">
      <c r="A384" s="63"/>
      <c r="B384" s="63"/>
    </row>
    <row r="385" spans="1:2" ht="16.5" x14ac:dyDescent="0.3">
      <c r="A385" s="63"/>
      <c r="B385" s="63"/>
    </row>
    <row r="386" spans="1:2" ht="16.5" x14ac:dyDescent="0.3">
      <c r="A386" s="63"/>
      <c r="B386" s="63"/>
    </row>
    <row r="387" spans="1:2" ht="16.5" x14ac:dyDescent="0.3">
      <c r="A387" s="63"/>
      <c r="B387" s="63"/>
    </row>
    <row r="388" spans="1:2" ht="16.5" x14ac:dyDescent="0.3">
      <c r="A388" s="63"/>
      <c r="B388" s="63"/>
    </row>
    <row r="389" spans="1:2" ht="16.5" x14ac:dyDescent="0.3">
      <c r="A389" s="63"/>
      <c r="B389" s="63"/>
    </row>
    <row r="390" spans="1:2" ht="16.5" x14ac:dyDescent="0.3">
      <c r="A390" s="63"/>
      <c r="B390" s="63"/>
    </row>
    <row r="391" spans="1:2" ht="16.5" x14ac:dyDescent="0.3">
      <c r="A391" s="63"/>
      <c r="B391" s="63"/>
    </row>
    <row r="392" spans="1:2" ht="16.5" x14ac:dyDescent="0.3">
      <c r="A392" s="63"/>
      <c r="B392" s="63"/>
    </row>
    <row r="393" spans="1:2" ht="16.5" x14ac:dyDescent="0.3">
      <c r="A393" s="63"/>
      <c r="B393" s="63"/>
    </row>
    <row r="394" spans="1:2" ht="16.5" x14ac:dyDescent="0.3">
      <c r="A394" s="63"/>
      <c r="B394" s="63"/>
    </row>
    <row r="395" spans="1:2" ht="16.5" x14ac:dyDescent="0.3">
      <c r="A395" s="63"/>
      <c r="B395" s="63"/>
    </row>
    <row r="396" spans="1:2" ht="16.5" x14ac:dyDescent="0.3">
      <c r="A396" s="63"/>
      <c r="B396" s="63"/>
    </row>
    <row r="397" spans="1:2" ht="16.5" x14ac:dyDescent="0.3">
      <c r="A397" s="63"/>
      <c r="B397" s="63"/>
    </row>
    <row r="398" spans="1:2" ht="16.5" x14ac:dyDescent="0.3">
      <c r="A398" s="63"/>
      <c r="B398" s="63"/>
    </row>
    <row r="399" spans="1:2" ht="16.5" x14ac:dyDescent="0.3">
      <c r="A399" s="63"/>
      <c r="B399" s="63"/>
    </row>
    <row r="400" spans="1:2" ht="16.5" x14ac:dyDescent="0.3">
      <c r="A400" s="63"/>
      <c r="B400" s="63"/>
    </row>
    <row r="401" spans="1:2" ht="16.5" x14ac:dyDescent="0.3">
      <c r="A401" s="63"/>
      <c r="B401" s="63"/>
    </row>
    <row r="402" spans="1:2" ht="16.5" x14ac:dyDescent="0.3">
      <c r="A402" s="63"/>
      <c r="B402" s="63"/>
    </row>
    <row r="403" spans="1:2" ht="16.5" x14ac:dyDescent="0.3">
      <c r="A403" s="63"/>
      <c r="B403" s="63"/>
    </row>
    <row r="404" spans="1:2" ht="16.5" x14ac:dyDescent="0.3">
      <c r="A404" s="63"/>
      <c r="B404" s="63"/>
    </row>
    <row r="405" spans="1:2" ht="16.5" x14ac:dyDescent="0.3">
      <c r="A405" s="63"/>
      <c r="B405" s="63"/>
    </row>
    <row r="406" spans="1:2" ht="16.5" x14ac:dyDescent="0.3">
      <c r="A406" s="63"/>
      <c r="B406" s="63"/>
    </row>
    <row r="407" spans="1:2" ht="16.5" x14ac:dyDescent="0.3">
      <c r="A407" s="63"/>
      <c r="B407" s="63"/>
    </row>
    <row r="408" spans="1:2" ht="16.5" x14ac:dyDescent="0.3">
      <c r="A408" s="63"/>
      <c r="B408" s="63"/>
    </row>
    <row r="409" spans="1:2" ht="16.5" x14ac:dyDescent="0.3">
      <c r="A409" s="63"/>
      <c r="B409" s="63"/>
    </row>
    <row r="410" spans="1:2" ht="16.5" x14ac:dyDescent="0.3">
      <c r="A410" s="63"/>
      <c r="B410" s="63"/>
    </row>
    <row r="411" spans="1:2" ht="16.5" x14ac:dyDescent="0.3">
      <c r="A411" s="63"/>
      <c r="B411" s="63"/>
    </row>
    <row r="412" spans="1:2" ht="16.5" x14ac:dyDescent="0.3">
      <c r="A412" s="63"/>
      <c r="B412" s="63"/>
    </row>
    <row r="413" spans="1:2" ht="16.5" x14ac:dyDescent="0.3">
      <c r="A413" s="63"/>
      <c r="B413" s="63"/>
    </row>
    <row r="414" spans="1:2" ht="16.5" x14ac:dyDescent="0.3">
      <c r="A414" s="63"/>
      <c r="B414" s="63"/>
    </row>
    <row r="415" spans="1:2" ht="16.5" x14ac:dyDescent="0.3">
      <c r="A415" s="63"/>
      <c r="B415" s="63"/>
    </row>
    <row r="416" spans="1:2" ht="16.5" x14ac:dyDescent="0.3">
      <c r="A416" s="63"/>
      <c r="B416" s="63"/>
    </row>
    <row r="417" spans="1:2" ht="16.5" x14ac:dyDescent="0.3">
      <c r="A417" s="63"/>
      <c r="B417" s="63"/>
    </row>
    <row r="418" spans="1:2" ht="16.5" x14ac:dyDescent="0.3">
      <c r="A418" s="63"/>
      <c r="B418" s="63"/>
    </row>
    <row r="419" spans="1:2" ht="16.5" x14ac:dyDescent="0.3">
      <c r="A419" s="63"/>
      <c r="B419" s="63"/>
    </row>
    <row r="420" spans="1:2" ht="16.5" x14ac:dyDescent="0.3">
      <c r="A420" s="63"/>
      <c r="B420" s="63"/>
    </row>
    <row r="421" spans="1:2" ht="16.5" x14ac:dyDescent="0.3">
      <c r="A421" s="63"/>
      <c r="B421" s="63"/>
    </row>
    <row r="422" spans="1:2" ht="16.5" x14ac:dyDescent="0.3">
      <c r="A422" s="63"/>
      <c r="B422" s="63"/>
    </row>
    <row r="423" spans="1:2" ht="16.5" x14ac:dyDescent="0.3">
      <c r="A423" s="63"/>
      <c r="B423" s="63"/>
    </row>
    <row r="424" spans="1:2" ht="16.5" x14ac:dyDescent="0.3">
      <c r="A424" s="63"/>
      <c r="B424" s="63"/>
    </row>
    <row r="425" spans="1:2" ht="16.5" x14ac:dyDescent="0.3">
      <c r="A425" s="63"/>
      <c r="B425" s="63"/>
    </row>
    <row r="426" spans="1:2" ht="16.5" x14ac:dyDescent="0.3">
      <c r="A426" s="63"/>
      <c r="B426" s="63"/>
    </row>
    <row r="427" spans="1:2" ht="16.5" x14ac:dyDescent="0.3">
      <c r="A427" s="63"/>
      <c r="B427" s="63"/>
    </row>
    <row r="428" spans="1:2" ht="16.5" x14ac:dyDescent="0.3">
      <c r="A428" s="63"/>
      <c r="B428" s="63"/>
    </row>
    <row r="429" spans="1:2" ht="16.5" x14ac:dyDescent="0.3">
      <c r="A429" s="63"/>
      <c r="B429" s="63"/>
    </row>
    <row r="430" spans="1:2" ht="16.5" x14ac:dyDescent="0.3">
      <c r="A430" s="63"/>
      <c r="B430" s="63"/>
    </row>
    <row r="431" spans="1:2" ht="16.5" x14ac:dyDescent="0.3">
      <c r="A431" s="63"/>
      <c r="B431" s="63"/>
    </row>
    <row r="432" spans="1:2" ht="16.5" x14ac:dyDescent="0.3">
      <c r="A432" s="63"/>
      <c r="B432" s="63"/>
    </row>
    <row r="433" spans="1:2" ht="16.5" x14ac:dyDescent="0.3">
      <c r="A433" s="63"/>
      <c r="B433" s="63"/>
    </row>
    <row r="434" spans="1:2" ht="16.5" x14ac:dyDescent="0.3">
      <c r="A434" s="63"/>
      <c r="B434" s="63"/>
    </row>
    <row r="435" spans="1:2" ht="16.5" x14ac:dyDescent="0.3">
      <c r="A435" s="63"/>
      <c r="B435" s="63"/>
    </row>
    <row r="436" spans="1:2" ht="16.5" x14ac:dyDescent="0.3">
      <c r="A436" s="63"/>
      <c r="B436" s="63"/>
    </row>
    <row r="437" spans="1:2" ht="16.5" x14ac:dyDescent="0.3">
      <c r="A437" s="63"/>
      <c r="B437" s="63"/>
    </row>
    <row r="438" spans="1:2" ht="16.5" x14ac:dyDescent="0.3">
      <c r="A438" s="63"/>
      <c r="B438" s="63"/>
    </row>
    <row r="439" spans="1:2" ht="16.5" x14ac:dyDescent="0.3">
      <c r="A439" s="63"/>
      <c r="B439" s="63"/>
    </row>
    <row r="440" spans="1:2" ht="16.5" x14ac:dyDescent="0.3">
      <c r="A440" s="63"/>
      <c r="B440" s="63"/>
    </row>
    <row r="441" spans="1:2" ht="16.5" x14ac:dyDescent="0.3">
      <c r="A441" s="63"/>
      <c r="B441" s="63"/>
    </row>
    <row r="442" spans="1:2" ht="16.5" x14ac:dyDescent="0.3">
      <c r="A442" s="63"/>
      <c r="B442" s="63"/>
    </row>
    <row r="443" spans="1:2" ht="16.5" x14ac:dyDescent="0.3">
      <c r="A443" s="63"/>
      <c r="B443" s="63"/>
    </row>
    <row r="444" spans="1:2" ht="16.5" x14ac:dyDescent="0.3">
      <c r="A444" s="63"/>
      <c r="B444" s="63"/>
    </row>
    <row r="445" spans="1:2" ht="16.5" x14ac:dyDescent="0.3">
      <c r="A445" s="63"/>
      <c r="B445" s="63"/>
    </row>
    <row r="446" spans="1:2" ht="16.5" x14ac:dyDescent="0.3">
      <c r="A446" s="63"/>
      <c r="B446" s="63"/>
    </row>
    <row r="447" spans="1:2" ht="16.5" x14ac:dyDescent="0.3">
      <c r="A447" s="63"/>
      <c r="B447" s="63"/>
    </row>
    <row r="448" spans="1:2" ht="16.5" x14ac:dyDescent="0.3">
      <c r="A448" s="63"/>
      <c r="B448" s="63"/>
    </row>
    <row r="449" spans="1:2" ht="16.5" x14ac:dyDescent="0.3">
      <c r="A449" s="63"/>
      <c r="B449" s="63"/>
    </row>
    <row r="450" spans="1:2" ht="16.5" x14ac:dyDescent="0.3">
      <c r="A450" s="63"/>
      <c r="B450" s="63"/>
    </row>
    <row r="451" spans="1:2" ht="16.5" x14ac:dyDescent="0.3">
      <c r="A451" s="63"/>
      <c r="B451" s="63"/>
    </row>
    <row r="452" spans="1:2" ht="16.5" x14ac:dyDescent="0.3">
      <c r="A452" s="63"/>
      <c r="B452" s="63"/>
    </row>
    <row r="453" spans="1:2" ht="16.5" x14ac:dyDescent="0.3">
      <c r="A453" s="63"/>
      <c r="B453" s="63"/>
    </row>
    <row r="454" spans="1:2" ht="16.5" x14ac:dyDescent="0.3">
      <c r="A454" s="63"/>
      <c r="B454" s="63"/>
    </row>
    <row r="455" spans="1:2" ht="16.5" x14ac:dyDescent="0.3">
      <c r="A455" s="63"/>
      <c r="B455" s="63"/>
    </row>
    <row r="456" spans="1:2" ht="16.5" x14ac:dyDescent="0.3">
      <c r="A456" s="63"/>
      <c r="B456" s="63"/>
    </row>
    <row r="457" spans="1:2" ht="16.5" x14ac:dyDescent="0.3">
      <c r="A457" s="63"/>
      <c r="B457" s="63"/>
    </row>
    <row r="458" spans="1:2" ht="16.5" x14ac:dyDescent="0.3">
      <c r="A458" s="63"/>
      <c r="B458" s="63"/>
    </row>
    <row r="459" spans="1:2" ht="16.5" x14ac:dyDescent="0.3">
      <c r="A459" s="63"/>
      <c r="B459" s="63"/>
    </row>
    <row r="460" spans="1:2" ht="16.5" x14ac:dyDescent="0.3">
      <c r="A460" s="63"/>
      <c r="B460" s="63"/>
    </row>
    <row r="461" spans="1:2" ht="16.5" x14ac:dyDescent="0.3">
      <c r="A461" s="63"/>
      <c r="B461" s="63"/>
    </row>
    <row r="462" spans="1:2" ht="16.5" x14ac:dyDescent="0.3">
      <c r="A462" s="63"/>
      <c r="B462" s="63"/>
    </row>
    <row r="463" spans="1:2" ht="16.5" x14ac:dyDescent="0.3">
      <c r="A463" s="63"/>
      <c r="B463" s="63"/>
    </row>
    <row r="464" spans="1:2" ht="16.5" x14ac:dyDescent="0.3">
      <c r="A464" s="63"/>
      <c r="B464" s="63"/>
    </row>
    <row r="465" spans="1:2" ht="16.5" x14ac:dyDescent="0.3">
      <c r="A465" s="63"/>
      <c r="B465" s="63"/>
    </row>
    <row r="466" spans="1:2" ht="16.5" x14ac:dyDescent="0.3">
      <c r="A466" s="63"/>
      <c r="B466" s="63"/>
    </row>
    <row r="467" spans="1:2" ht="16.5" x14ac:dyDescent="0.3">
      <c r="A467" s="63"/>
      <c r="B467" s="63"/>
    </row>
    <row r="468" spans="1:2" ht="16.5" x14ac:dyDescent="0.3">
      <c r="A468" s="63"/>
      <c r="B468" s="63"/>
    </row>
    <row r="469" spans="1:2" ht="16.5" x14ac:dyDescent="0.3">
      <c r="A469" s="63"/>
      <c r="B469" s="63"/>
    </row>
    <row r="470" spans="1:2" ht="16.5" x14ac:dyDescent="0.3">
      <c r="A470" s="63"/>
      <c r="B470" s="63"/>
    </row>
    <row r="471" spans="1:2" ht="16.5" x14ac:dyDescent="0.3">
      <c r="A471" s="63"/>
      <c r="B471" s="63"/>
    </row>
    <row r="472" spans="1:2" ht="16.5" x14ac:dyDescent="0.3">
      <c r="A472" s="63"/>
      <c r="B472" s="63"/>
    </row>
    <row r="473" spans="1:2" ht="16.5" x14ac:dyDescent="0.3">
      <c r="A473" s="63"/>
      <c r="B473" s="63"/>
    </row>
    <row r="474" spans="1:2" ht="16.5" x14ac:dyDescent="0.3">
      <c r="A474" s="63"/>
      <c r="B474" s="63"/>
    </row>
    <row r="475" spans="1:2" ht="16.5" x14ac:dyDescent="0.3">
      <c r="A475" s="63"/>
      <c r="B475" s="63"/>
    </row>
    <row r="476" spans="1:2" ht="16.5" x14ac:dyDescent="0.3">
      <c r="A476" s="63"/>
      <c r="B476" s="63"/>
    </row>
    <row r="477" spans="1:2" ht="16.5" x14ac:dyDescent="0.3">
      <c r="A477" s="63"/>
      <c r="B477" s="63"/>
    </row>
    <row r="478" spans="1:2" ht="16.5" x14ac:dyDescent="0.3">
      <c r="A478" s="63"/>
      <c r="B478" s="63"/>
    </row>
    <row r="479" spans="1:2" ht="16.5" x14ac:dyDescent="0.3">
      <c r="A479" s="63"/>
      <c r="B479" s="63"/>
    </row>
    <row r="480" spans="1:2" ht="16.5" x14ac:dyDescent="0.3">
      <c r="A480" s="63"/>
      <c r="B480" s="63"/>
    </row>
    <row r="481" spans="1:2" ht="16.5" x14ac:dyDescent="0.3">
      <c r="A481" s="63"/>
      <c r="B481" s="63"/>
    </row>
    <row r="482" spans="1:2" ht="16.5" x14ac:dyDescent="0.3">
      <c r="A482" s="63"/>
      <c r="B482" s="63"/>
    </row>
    <row r="483" spans="1:2" ht="16.5" x14ac:dyDescent="0.3">
      <c r="A483" s="63"/>
      <c r="B483" s="63"/>
    </row>
    <row r="484" spans="1:2" ht="16.5" x14ac:dyDescent="0.3">
      <c r="A484" s="63"/>
      <c r="B484" s="63"/>
    </row>
    <row r="485" spans="1:2" ht="16.5" x14ac:dyDescent="0.3">
      <c r="A485" s="63"/>
      <c r="B485" s="63"/>
    </row>
    <row r="486" spans="1:2" ht="16.5" x14ac:dyDescent="0.3">
      <c r="A486" s="63"/>
      <c r="B486" s="63"/>
    </row>
    <row r="487" spans="1:2" ht="16.5" x14ac:dyDescent="0.3">
      <c r="A487" s="63"/>
      <c r="B487" s="63"/>
    </row>
    <row r="488" spans="1:2" ht="16.5" x14ac:dyDescent="0.3">
      <c r="A488" s="63"/>
      <c r="B488" s="63"/>
    </row>
    <row r="489" spans="1:2" ht="16.5" x14ac:dyDescent="0.3">
      <c r="A489" s="63"/>
      <c r="B489" s="63"/>
    </row>
    <row r="490" spans="1:2" ht="16.5" x14ac:dyDescent="0.3">
      <c r="A490" s="63"/>
      <c r="B490" s="63"/>
    </row>
    <row r="491" spans="1:2" ht="16.5" x14ac:dyDescent="0.3">
      <c r="A491" s="63"/>
      <c r="B491" s="63"/>
    </row>
    <row r="492" spans="1:2" ht="16.5" x14ac:dyDescent="0.3">
      <c r="A492" s="63"/>
      <c r="B492" s="63"/>
    </row>
    <row r="493" spans="1:2" ht="16.5" x14ac:dyDescent="0.3">
      <c r="A493" s="63"/>
      <c r="B493" s="63"/>
    </row>
    <row r="494" spans="1:2" ht="16.5" x14ac:dyDescent="0.3">
      <c r="A494" s="63"/>
      <c r="B494" s="63"/>
    </row>
    <row r="495" spans="1:2" ht="16.5" x14ac:dyDescent="0.3">
      <c r="A495" s="63"/>
      <c r="B495" s="63"/>
    </row>
    <row r="496" spans="1:2" ht="16.5" x14ac:dyDescent="0.3">
      <c r="A496" s="63"/>
      <c r="B496" s="63"/>
    </row>
    <row r="497" spans="1:2" ht="16.5" x14ac:dyDescent="0.3">
      <c r="A497" s="63"/>
      <c r="B497" s="63"/>
    </row>
    <row r="498" spans="1:2" ht="16.5" x14ac:dyDescent="0.3">
      <c r="A498" s="63"/>
      <c r="B498" s="63"/>
    </row>
    <row r="499" spans="1:2" ht="16.5" x14ac:dyDescent="0.3">
      <c r="A499" s="63"/>
      <c r="B499" s="63"/>
    </row>
    <row r="500" spans="1:2" ht="16.5" x14ac:dyDescent="0.3">
      <c r="A500" s="63"/>
      <c r="B500" s="63"/>
    </row>
    <row r="501" spans="1:2" ht="16.5" x14ac:dyDescent="0.3">
      <c r="A501" s="63"/>
      <c r="B501" s="63"/>
    </row>
    <row r="502" spans="1:2" ht="16.5" x14ac:dyDescent="0.3">
      <c r="A502" s="63"/>
      <c r="B502" s="63"/>
    </row>
    <row r="503" spans="1:2" ht="16.5" x14ac:dyDescent="0.3">
      <c r="A503" s="63"/>
      <c r="B503" s="63"/>
    </row>
    <row r="504" spans="1:2" ht="16.5" x14ac:dyDescent="0.3">
      <c r="A504" s="63"/>
      <c r="B504" s="63"/>
    </row>
    <row r="505" spans="1:2" ht="16.5" x14ac:dyDescent="0.3">
      <c r="A505" s="63"/>
      <c r="B505" s="63"/>
    </row>
    <row r="506" spans="1:2" ht="16.5" x14ac:dyDescent="0.3">
      <c r="A506" s="63"/>
      <c r="B506" s="63"/>
    </row>
    <row r="507" spans="1:2" ht="16.5" x14ac:dyDescent="0.3">
      <c r="A507" s="63"/>
      <c r="B507" s="63"/>
    </row>
    <row r="508" spans="1:2" ht="16.5" x14ac:dyDescent="0.3">
      <c r="A508" s="63"/>
      <c r="B508" s="63"/>
    </row>
    <row r="509" spans="1:2" ht="16.5" x14ac:dyDescent="0.3">
      <c r="A509" s="63"/>
      <c r="B509" s="63"/>
    </row>
    <row r="510" spans="1:2" ht="16.5" x14ac:dyDescent="0.3">
      <c r="A510" s="63"/>
      <c r="B510" s="63"/>
    </row>
    <row r="511" spans="1:2" ht="16.5" x14ac:dyDescent="0.3">
      <c r="A511" s="63"/>
      <c r="B511" s="63"/>
    </row>
    <row r="512" spans="1:2" ht="16.5" x14ac:dyDescent="0.3">
      <c r="A512" s="63"/>
      <c r="B512" s="63"/>
    </row>
    <row r="513" spans="1:2" ht="16.5" x14ac:dyDescent="0.3">
      <c r="A513" s="63"/>
      <c r="B513" s="63"/>
    </row>
    <row r="514" spans="1:2" ht="16.5" x14ac:dyDescent="0.3">
      <c r="A514" s="63"/>
      <c r="B514" s="63"/>
    </row>
    <row r="515" spans="1:2" ht="16.5" x14ac:dyDescent="0.3">
      <c r="A515" s="63"/>
      <c r="B515" s="63"/>
    </row>
    <row r="516" spans="1:2" ht="16.5" x14ac:dyDescent="0.3">
      <c r="A516" s="63"/>
      <c r="B516" s="63"/>
    </row>
    <row r="517" spans="1:2" ht="16.5" x14ac:dyDescent="0.3">
      <c r="A517" s="63"/>
      <c r="B517" s="63"/>
    </row>
    <row r="518" spans="1:2" ht="16.5" x14ac:dyDescent="0.3">
      <c r="A518" s="63"/>
      <c r="B518" s="63"/>
    </row>
    <row r="519" spans="1:2" ht="16.5" x14ac:dyDescent="0.3">
      <c r="A519" s="63"/>
      <c r="B519" s="63"/>
    </row>
    <row r="520" spans="1:2" ht="16.5" x14ac:dyDescent="0.3">
      <c r="A520" s="63"/>
      <c r="B520" s="63"/>
    </row>
    <row r="521" spans="1:2" ht="16.5" x14ac:dyDescent="0.3">
      <c r="A521" s="63"/>
      <c r="B521" s="63"/>
    </row>
    <row r="522" spans="1:2" ht="16.5" x14ac:dyDescent="0.3">
      <c r="A522" s="63"/>
      <c r="B522" s="63"/>
    </row>
    <row r="523" spans="1:2" ht="16.5" x14ac:dyDescent="0.3">
      <c r="A523" s="63"/>
      <c r="B523" s="63"/>
    </row>
    <row r="524" spans="1:2" ht="16.5" x14ac:dyDescent="0.3">
      <c r="A524" s="63"/>
      <c r="B524" s="63"/>
    </row>
    <row r="525" spans="1:2" ht="16.5" x14ac:dyDescent="0.3">
      <c r="A525" s="63"/>
      <c r="B525" s="63"/>
    </row>
    <row r="526" spans="1:2" ht="16.5" x14ac:dyDescent="0.3">
      <c r="A526" s="63"/>
      <c r="B526" s="63"/>
    </row>
    <row r="527" spans="1:2" ht="16.5" x14ac:dyDescent="0.3">
      <c r="A527" s="63"/>
      <c r="B527" s="63"/>
    </row>
    <row r="528" spans="1:2" ht="16.5" x14ac:dyDescent="0.3">
      <c r="A528" s="63"/>
      <c r="B528" s="63"/>
    </row>
    <row r="529" spans="1:2" ht="16.5" x14ac:dyDescent="0.3">
      <c r="A529" s="63"/>
      <c r="B529" s="63"/>
    </row>
    <row r="530" spans="1:2" ht="16.5" x14ac:dyDescent="0.3">
      <c r="A530" s="63"/>
      <c r="B530" s="63"/>
    </row>
    <row r="531" spans="1:2" ht="16.5" x14ac:dyDescent="0.3">
      <c r="A531" s="63"/>
      <c r="B531" s="63"/>
    </row>
    <row r="532" spans="1:2" ht="16.5" x14ac:dyDescent="0.3">
      <c r="A532" s="63"/>
      <c r="B532" s="63"/>
    </row>
    <row r="533" spans="1:2" ht="16.5" x14ac:dyDescent="0.3">
      <c r="A533" s="63"/>
      <c r="B533" s="63"/>
    </row>
    <row r="534" spans="1:2" ht="16.5" x14ac:dyDescent="0.3">
      <c r="A534" s="63"/>
      <c r="B534" s="63"/>
    </row>
    <row r="535" spans="1:2" ht="16.5" x14ac:dyDescent="0.3">
      <c r="A535" s="63"/>
      <c r="B535" s="63"/>
    </row>
    <row r="536" spans="1:2" ht="16.5" x14ac:dyDescent="0.3">
      <c r="A536" s="63"/>
      <c r="B536" s="63"/>
    </row>
    <row r="537" spans="1:2" ht="16.5" x14ac:dyDescent="0.3">
      <c r="A537" s="63"/>
      <c r="B537" s="63"/>
    </row>
    <row r="538" spans="1:2" ht="16.5" x14ac:dyDescent="0.3">
      <c r="A538" s="63"/>
      <c r="B538" s="63"/>
    </row>
    <row r="539" spans="1:2" ht="16.5" x14ac:dyDescent="0.3">
      <c r="A539" s="63"/>
      <c r="B539" s="63"/>
    </row>
    <row r="540" spans="1:2" ht="16.5" x14ac:dyDescent="0.3">
      <c r="A540" s="63"/>
      <c r="B540" s="63"/>
    </row>
    <row r="541" spans="1:2" ht="16.5" x14ac:dyDescent="0.3">
      <c r="A541" s="63"/>
      <c r="B541" s="63"/>
    </row>
    <row r="542" spans="1:2" ht="16.5" x14ac:dyDescent="0.3">
      <c r="A542" s="63"/>
      <c r="B542" s="63"/>
    </row>
    <row r="543" spans="1:2" ht="16.5" x14ac:dyDescent="0.3">
      <c r="A543" s="63"/>
      <c r="B543" s="63"/>
    </row>
    <row r="544" spans="1:2" ht="16.5" x14ac:dyDescent="0.3">
      <c r="A544" s="63"/>
      <c r="B544" s="63"/>
    </row>
    <row r="545" spans="1:2" ht="16.5" x14ac:dyDescent="0.3">
      <c r="A545" s="63"/>
      <c r="B545" s="63"/>
    </row>
    <row r="546" spans="1:2" ht="16.5" x14ac:dyDescent="0.3">
      <c r="A546" s="63"/>
      <c r="B546" s="63"/>
    </row>
    <row r="547" spans="1:2" ht="16.5" x14ac:dyDescent="0.3">
      <c r="A547" s="63"/>
      <c r="B547" s="63"/>
    </row>
    <row r="548" spans="1:2" ht="16.5" x14ac:dyDescent="0.3">
      <c r="A548" s="63"/>
      <c r="B548" s="63"/>
    </row>
    <row r="549" spans="1:2" ht="16.5" x14ac:dyDescent="0.3">
      <c r="A549" s="63"/>
      <c r="B549" s="63"/>
    </row>
    <row r="550" spans="1:2" ht="16.5" x14ac:dyDescent="0.3">
      <c r="A550" s="63"/>
      <c r="B550" s="63"/>
    </row>
    <row r="551" spans="1:2" ht="16.5" x14ac:dyDescent="0.3">
      <c r="A551" s="63"/>
      <c r="B551" s="63"/>
    </row>
    <row r="552" spans="1:2" ht="16.5" x14ac:dyDescent="0.3">
      <c r="A552" s="63"/>
      <c r="B552" s="63"/>
    </row>
    <row r="553" spans="1:2" ht="16.5" x14ac:dyDescent="0.3">
      <c r="A553" s="63"/>
      <c r="B553" s="63"/>
    </row>
    <row r="554" spans="1:2" ht="16.5" x14ac:dyDescent="0.3">
      <c r="A554" s="63"/>
      <c r="B554" s="63"/>
    </row>
    <row r="555" spans="1:2" ht="16.5" x14ac:dyDescent="0.3">
      <c r="A555" s="63"/>
      <c r="B555" s="63"/>
    </row>
    <row r="556" spans="1:2" ht="16.5" x14ac:dyDescent="0.3">
      <c r="A556" s="63"/>
      <c r="B556" s="63"/>
    </row>
    <row r="557" spans="1:2" ht="16.5" x14ac:dyDescent="0.3">
      <c r="A557" s="63"/>
      <c r="B557" s="63"/>
    </row>
    <row r="558" spans="1:2" ht="16.5" x14ac:dyDescent="0.3">
      <c r="A558" s="63"/>
      <c r="B558" s="63"/>
    </row>
    <row r="559" spans="1:2" ht="16.5" x14ac:dyDescent="0.3">
      <c r="A559" s="63"/>
      <c r="B559" s="63"/>
    </row>
    <row r="560" spans="1:2" ht="16.5" x14ac:dyDescent="0.3">
      <c r="A560" s="63"/>
      <c r="B560" s="63"/>
    </row>
    <row r="561" spans="1:2" ht="16.5" x14ac:dyDescent="0.3">
      <c r="A561" s="63"/>
      <c r="B561" s="63"/>
    </row>
    <row r="562" spans="1:2" ht="16.5" x14ac:dyDescent="0.3">
      <c r="A562" s="63"/>
      <c r="B562" s="63"/>
    </row>
    <row r="563" spans="1:2" ht="16.5" x14ac:dyDescent="0.3">
      <c r="A563" s="63"/>
      <c r="B563" s="63"/>
    </row>
    <row r="564" spans="1:2" ht="16.5" x14ac:dyDescent="0.3">
      <c r="A564" s="63"/>
      <c r="B564" s="63"/>
    </row>
    <row r="565" spans="1:2" ht="16.5" x14ac:dyDescent="0.3">
      <c r="A565" s="63"/>
      <c r="B565" s="63"/>
    </row>
    <row r="566" spans="1:2" ht="16.5" x14ac:dyDescent="0.3">
      <c r="A566" s="63"/>
      <c r="B566" s="63"/>
    </row>
    <row r="567" spans="1:2" ht="16.5" x14ac:dyDescent="0.3">
      <c r="A567" s="63"/>
      <c r="B567" s="63"/>
    </row>
    <row r="568" spans="1:2" ht="16.5" x14ac:dyDescent="0.3">
      <c r="A568" s="63"/>
      <c r="B568" s="63"/>
    </row>
    <row r="569" spans="1:2" ht="16.5" x14ac:dyDescent="0.3">
      <c r="A569" s="63"/>
      <c r="B569" s="63"/>
    </row>
    <row r="570" spans="1:2" ht="16.5" x14ac:dyDescent="0.3">
      <c r="A570" s="63"/>
      <c r="B570" s="63"/>
    </row>
    <row r="571" spans="1:2" ht="16.5" x14ac:dyDescent="0.3">
      <c r="A571" s="63"/>
      <c r="B571" s="63"/>
    </row>
    <row r="572" spans="1:2" ht="16.5" x14ac:dyDescent="0.3">
      <c r="A572" s="63"/>
      <c r="B572" s="63"/>
    </row>
    <row r="573" spans="1:2" ht="16.5" x14ac:dyDescent="0.3">
      <c r="A573" s="63"/>
      <c r="B573" s="63"/>
    </row>
    <row r="574" spans="1:2" ht="16.5" x14ac:dyDescent="0.3">
      <c r="A574" s="63"/>
      <c r="B574" s="63"/>
    </row>
    <row r="575" spans="1:2" ht="16.5" x14ac:dyDescent="0.3">
      <c r="A575" s="63"/>
      <c r="B575" s="63"/>
    </row>
    <row r="576" spans="1:2" ht="16.5" x14ac:dyDescent="0.3">
      <c r="A576" s="63"/>
      <c r="B576" s="63"/>
    </row>
    <row r="577" spans="1:2" ht="16.5" x14ac:dyDescent="0.3">
      <c r="A577" s="63"/>
      <c r="B577" s="63"/>
    </row>
    <row r="578" spans="1:2" ht="16.5" x14ac:dyDescent="0.3">
      <c r="A578" s="63"/>
      <c r="B578" s="63"/>
    </row>
    <row r="579" spans="1:2" ht="16.5" x14ac:dyDescent="0.3">
      <c r="A579" s="63"/>
      <c r="B579" s="63"/>
    </row>
    <row r="580" spans="1:2" ht="16.5" x14ac:dyDescent="0.3">
      <c r="A580" s="63"/>
      <c r="B580" s="63"/>
    </row>
    <row r="581" spans="1:2" ht="16.5" x14ac:dyDescent="0.3">
      <c r="A581" s="63"/>
      <c r="B581" s="63"/>
    </row>
    <row r="582" spans="1:2" ht="16.5" x14ac:dyDescent="0.3">
      <c r="A582" s="63"/>
      <c r="B582" s="63"/>
    </row>
    <row r="583" spans="1:2" ht="16.5" x14ac:dyDescent="0.3">
      <c r="A583" s="63"/>
      <c r="B583" s="63"/>
    </row>
    <row r="584" spans="1:2" ht="16.5" x14ac:dyDescent="0.3">
      <c r="A584" s="63"/>
      <c r="B584" s="63"/>
    </row>
    <row r="585" spans="1:2" ht="16.5" x14ac:dyDescent="0.3">
      <c r="A585" s="63"/>
      <c r="B585" s="63"/>
    </row>
    <row r="586" spans="1:2" ht="16.5" x14ac:dyDescent="0.3">
      <c r="A586" s="63"/>
      <c r="B586" s="63"/>
    </row>
    <row r="587" spans="1:2" ht="16.5" x14ac:dyDescent="0.3">
      <c r="A587" s="63"/>
      <c r="B587" s="63"/>
    </row>
    <row r="588" spans="1:2" ht="16.5" x14ac:dyDescent="0.3">
      <c r="A588" s="63"/>
      <c r="B588" s="63"/>
    </row>
    <row r="589" spans="1:2" ht="16.5" x14ac:dyDescent="0.3">
      <c r="A589" s="63"/>
      <c r="B589" s="63"/>
    </row>
    <row r="590" spans="1:2" ht="16.5" x14ac:dyDescent="0.3">
      <c r="A590" s="63"/>
      <c r="B590" s="63"/>
    </row>
    <row r="591" spans="1:2" ht="16.5" x14ac:dyDescent="0.3">
      <c r="A591" s="63"/>
      <c r="B591" s="63"/>
    </row>
    <row r="592" spans="1:2" ht="16.5" x14ac:dyDescent="0.3">
      <c r="A592" s="63"/>
      <c r="B592" s="63"/>
    </row>
    <row r="593" spans="1:2" ht="16.5" x14ac:dyDescent="0.3">
      <c r="A593" s="63"/>
      <c r="B593" s="63"/>
    </row>
    <row r="594" spans="1:2" ht="16.5" x14ac:dyDescent="0.3">
      <c r="A594" s="63"/>
      <c r="B594" s="63"/>
    </row>
    <row r="595" spans="1:2" ht="16.5" x14ac:dyDescent="0.3">
      <c r="A595" s="63"/>
      <c r="B595" s="63"/>
    </row>
    <row r="596" spans="1:2" ht="16.5" x14ac:dyDescent="0.3">
      <c r="A596" s="63"/>
      <c r="B596" s="63"/>
    </row>
    <row r="597" spans="1:2" ht="16.5" x14ac:dyDescent="0.3">
      <c r="A597" s="63"/>
      <c r="B597" s="63"/>
    </row>
    <row r="598" spans="1:2" ht="16.5" x14ac:dyDescent="0.3">
      <c r="A598" s="63"/>
      <c r="B598" s="63"/>
    </row>
    <row r="599" spans="1:2" ht="16.5" x14ac:dyDescent="0.3">
      <c r="A599" s="63"/>
      <c r="B599" s="63"/>
    </row>
    <row r="600" spans="1:2" ht="16.5" x14ac:dyDescent="0.3">
      <c r="A600" s="63"/>
      <c r="B600" s="63"/>
    </row>
    <row r="601" spans="1:2" ht="16.5" x14ac:dyDescent="0.3">
      <c r="A601" s="63"/>
      <c r="B601" s="63"/>
    </row>
    <row r="602" spans="1:2" ht="16.5" x14ac:dyDescent="0.3">
      <c r="A602" s="63"/>
      <c r="B602" s="63"/>
    </row>
    <row r="603" spans="1:2" ht="16.5" x14ac:dyDescent="0.3">
      <c r="A603" s="63"/>
      <c r="B603" s="63"/>
    </row>
    <row r="604" spans="1:2" ht="16.5" x14ac:dyDescent="0.3">
      <c r="A604" s="63"/>
      <c r="B604" s="63"/>
    </row>
    <row r="605" spans="1:2" ht="16.5" x14ac:dyDescent="0.3">
      <c r="A605" s="63"/>
      <c r="B605" s="63"/>
    </row>
    <row r="606" spans="1:2" ht="16.5" x14ac:dyDescent="0.3">
      <c r="A606" s="63"/>
      <c r="B606" s="63"/>
    </row>
    <row r="607" spans="1:2" ht="16.5" x14ac:dyDescent="0.3">
      <c r="A607" s="63"/>
      <c r="B607" s="63"/>
    </row>
    <row r="608" spans="1:2" ht="16.5" x14ac:dyDescent="0.3">
      <c r="A608" s="63"/>
      <c r="B608" s="63"/>
    </row>
    <row r="609" spans="1:2" ht="16.5" x14ac:dyDescent="0.3">
      <c r="A609" s="63"/>
      <c r="B609" s="63"/>
    </row>
    <row r="610" spans="1:2" ht="16.5" x14ac:dyDescent="0.3">
      <c r="A610" s="63"/>
      <c r="B610" s="63"/>
    </row>
    <row r="611" spans="1:2" ht="16.5" x14ac:dyDescent="0.3">
      <c r="A611" s="63"/>
      <c r="B611" s="63"/>
    </row>
    <row r="612" spans="1:2" ht="16.5" x14ac:dyDescent="0.3">
      <c r="A612" s="63"/>
      <c r="B612" s="63"/>
    </row>
    <row r="613" spans="1:2" ht="16.5" x14ac:dyDescent="0.3">
      <c r="A613" s="63"/>
      <c r="B613" s="63"/>
    </row>
    <row r="614" spans="1:2" ht="16.5" x14ac:dyDescent="0.3">
      <c r="A614" s="63"/>
      <c r="B614" s="63"/>
    </row>
    <row r="615" spans="1:2" ht="16.5" x14ac:dyDescent="0.3">
      <c r="A615" s="63"/>
      <c r="B615" s="63"/>
    </row>
    <row r="616" spans="1:2" ht="16.5" x14ac:dyDescent="0.3">
      <c r="A616" s="63"/>
      <c r="B616" s="63"/>
    </row>
    <row r="617" spans="1:2" ht="16.5" x14ac:dyDescent="0.3">
      <c r="A617" s="63"/>
      <c r="B617" s="63"/>
    </row>
    <row r="618" spans="1:2" ht="16.5" x14ac:dyDescent="0.3">
      <c r="A618" s="63"/>
      <c r="B618" s="63"/>
    </row>
    <row r="619" spans="1:2" ht="16.5" x14ac:dyDescent="0.3">
      <c r="A619" s="63"/>
      <c r="B619" s="63"/>
    </row>
    <row r="620" spans="1:2" ht="16.5" x14ac:dyDescent="0.3">
      <c r="A620" s="63"/>
      <c r="B620" s="63"/>
    </row>
    <row r="621" spans="1:2" ht="16.5" x14ac:dyDescent="0.3">
      <c r="A621" s="63"/>
      <c r="B621" s="63"/>
    </row>
    <row r="622" spans="1:2" ht="16.5" x14ac:dyDescent="0.3">
      <c r="A622" s="63"/>
      <c r="B622" s="63"/>
    </row>
    <row r="623" spans="1:2" ht="16.5" x14ac:dyDescent="0.3">
      <c r="A623" s="63"/>
      <c r="B623" s="63"/>
    </row>
    <row r="624" spans="1:2" ht="16.5" x14ac:dyDescent="0.3">
      <c r="A624" s="63"/>
      <c r="B624" s="63"/>
    </row>
    <row r="625" spans="1:2" ht="16.5" x14ac:dyDescent="0.3">
      <c r="A625" s="63"/>
      <c r="B625" s="63"/>
    </row>
    <row r="626" spans="1:2" ht="16.5" x14ac:dyDescent="0.3">
      <c r="A626" s="63"/>
      <c r="B626" s="63"/>
    </row>
    <row r="627" spans="1:2" ht="16.5" x14ac:dyDescent="0.3">
      <c r="A627" s="63"/>
      <c r="B627" s="63"/>
    </row>
    <row r="628" spans="1:2" ht="16.5" x14ac:dyDescent="0.3">
      <c r="A628" s="63"/>
      <c r="B628" s="63"/>
    </row>
    <row r="629" spans="1:2" ht="16.5" x14ac:dyDescent="0.3">
      <c r="A629" s="63"/>
      <c r="B629" s="63"/>
    </row>
    <row r="630" spans="1:2" ht="16.5" x14ac:dyDescent="0.3">
      <c r="A630" s="63"/>
      <c r="B630" s="63"/>
    </row>
    <row r="631" spans="1:2" ht="16.5" x14ac:dyDescent="0.3">
      <c r="A631" s="63"/>
      <c r="B631" s="63"/>
    </row>
    <row r="632" spans="1:2" ht="16.5" x14ac:dyDescent="0.3">
      <c r="A632" s="63"/>
      <c r="B632" s="63"/>
    </row>
    <row r="633" spans="1:2" ht="16.5" x14ac:dyDescent="0.3">
      <c r="A633" s="63"/>
      <c r="B633" s="63"/>
    </row>
    <row r="634" spans="1:2" ht="16.5" x14ac:dyDescent="0.3">
      <c r="A634" s="63"/>
      <c r="B634" s="63"/>
    </row>
    <row r="635" spans="1:2" ht="16.5" x14ac:dyDescent="0.3">
      <c r="A635" s="63"/>
      <c r="B635" s="63"/>
    </row>
    <row r="636" spans="1:2" ht="16.5" x14ac:dyDescent="0.3">
      <c r="A636" s="63"/>
      <c r="B636" s="63"/>
    </row>
    <row r="637" spans="1:2" ht="16.5" x14ac:dyDescent="0.3">
      <c r="A637" s="63"/>
      <c r="B637" s="63"/>
    </row>
    <row r="638" spans="1:2" ht="16.5" x14ac:dyDescent="0.3">
      <c r="A638" s="63"/>
      <c r="B638" s="63"/>
    </row>
    <row r="639" spans="1:2" ht="16.5" x14ac:dyDescent="0.3">
      <c r="A639" s="63"/>
      <c r="B639" s="63"/>
    </row>
    <row r="640" spans="1:2" ht="16.5" x14ac:dyDescent="0.3">
      <c r="A640" s="63"/>
      <c r="B640" s="63"/>
    </row>
    <row r="641" spans="1:2" ht="16.5" x14ac:dyDescent="0.3">
      <c r="A641" s="63"/>
      <c r="B641" s="63"/>
    </row>
    <row r="642" spans="1:2" ht="16.5" x14ac:dyDescent="0.3">
      <c r="A642" s="63"/>
      <c r="B642" s="63"/>
    </row>
    <row r="643" spans="1:2" ht="16.5" x14ac:dyDescent="0.3">
      <c r="A643" s="63"/>
      <c r="B643" s="63"/>
    </row>
    <row r="644" spans="1:2" ht="16.5" x14ac:dyDescent="0.3">
      <c r="A644" s="63"/>
      <c r="B644" s="63"/>
    </row>
    <row r="645" spans="1:2" ht="16.5" x14ac:dyDescent="0.3">
      <c r="A645" s="63"/>
      <c r="B645" s="63"/>
    </row>
    <row r="646" spans="1:2" ht="16.5" x14ac:dyDescent="0.3">
      <c r="A646" s="63"/>
      <c r="B646" s="63"/>
    </row>
    <row r="647" spans="1:2" ht="16.5" x14ac:dyDescent="0.3">
      <c r="A647" s="63"/>
      <c r="B647" s="63"/>
    </row>
    <row r="648" spans="1:2" ht="16.5" x14ac:dyDescent="0.3">
      <c r="A648" s="63"/>
      <c r="B648" s="63"/>
    </row>
    <row r="649" spans="1:2" ht="16.5" x14ac:dyDescent="0.3">
      <c r="A649" s="63"/>
      <c r="B649" s="63"/>
    </row>
    <row r="650" spans="1:2" ht="16.5" x14ac:dyDescent="0.3">
      <c r="A650" s="63"/>
      <c r="B650" s="63"/>
    </row>
    <row r="651" spans="1:2" ht="16.5" x14ac:dyDescent="0.3">
      <c r="A651" s="63"/>
      <c r="B651" s="63"/>
    </row>
    <row r="652" spans="1:2" ht="16.5" x14ac:dyDescent="0.3">
      <c r="A652" s="63"/>
      <c r="B652" s="63"/>
    </row>
    <row r="653" spans="1:2" ht="16.5" x14ac:dyDescent="0.3">
      <c r="A653" s="63"/>
      <c r="B653" s="63"/>
    </row>
    <row r="654" spans="1:2" ht="16.5" x14ac:dyDescent="0.3">
      <c r="A654" s="63"/>
      <c r="B654" s="63"/>
    </row>
    <row r="655" spans="1:2" ht="16.5" x14ac:dyDescent="0.3">
      <c r="A655" s="63"/>
      <c r="B655" s="63"/>
    </row>
    <row r="656" spans="1:2" ht="16.5" x14ac:dyDescent="0.3">
      <c r="A656" s="63"/>
      <c r="B656" s="63"/>
    </row>
    <row r="657" spans="1:2" ht="16.5" x14ac:dyDescent="0.3">
      <c r="A657" s="63"/>
      <c r="B657" s="63"/>
    </row>
    <row r="658" spans="1:2" ht="16.5" x14ac:dyDescent="0.3">
      <c r="A658" s="63"/>
      <c r="B658" s="63"/>
    </row>
    <row r="659" spans="1:2" ht="16.5" x14ac:dyDescent="0.3">
      <c r="A659" s="63"/>
      <c r="B659" s="63"/>
    </row>
    <row r="660" spans="1:2" ht="16.5" x14ac:dyDescent="0.3">
      <c r="A660" s="63"/>
      <c r="B660" s="63"/>
    </row>
    <row r="661" spans="1:2" ht="16.5" x14ac:dyDescent="0.3">
      <c r="A661" s="63"/>
      <c r="B661" s="63"/>
    </row>
    <row r="662" spans="1:2" ht="16.5" x14ac:dyDescent="0.3">
      <c r="A662" s="63"/>
      <c r="B662" s="63"/>
    </row>
    <row r="663" spans="1:2" ht="16.5" x14ac:dyDescent="0.3">
      <c r="A663" s="63"/>
      <c r="B663" s="63"/>
    </row>
    <row r="664" spans="1:2" ht="16.5" x14ac:dyDescent="0.3">
      <c r="A664" s="63"/>
      <c r="B664" s="63"/>
    </row>
    <row r="665" spans="1:2" ht="16.5" x14ac:dyDescent="0.3">
      <c r="A665" s="63"/>
      <c r="B665" s="63"/>
    </row>
    <row r="666" spans="1:2" ht="16.5" x14ac:dyDescent="0.3">
      <c r="A666" s="63"/>
      <c r="B666" s="63"/>
    </row>
    <row r="667" spans="1:2" ht="16.5" x14ac:dyDescent="0.3">
      <c r="A667" s="63"/>
      <c r="B667" s="63"/>
    </row>
    <row r="668" spans="1:2" ht="16.5" x14ac:dyDescent="0.3">
      <c r="A668" s="63"/>
      <c r="B668" s="63"/>
    </row>
    <row r="669" spans="1:2" ht="16.5" x14ac:dyDescent="0.3">
      <c r="A669" s="63"/>
      <c r="B669" s="63"/>
    </row>
    <row r="670" spans="1:2" ht="16.5" x14ac:dyDescent="0.3">
      <c r="A670" s="63"/>
      <c r="B670" s="63"/>
    </row>
    <row r="671" spans="1:2" ht="16.5" x14ac:dyDescent="0.3">
      <c r="A671" s="63"/>
      <c r="B671" s="63"/>
    </row>
    <row r="672" spans="1:2" ht="16.5" x14ac:dyDescent="0.3">
      <c r="A672" s="63"/>
      <c r="B672" s="63"/>
    </row>
    <row r="673" spans="1:2" ht="16.5" x14ac:dyDescent="0.3">
      <c r="A673" s="63"/>
      <c r="B673" s="63"/>
    </row>
    <row r="674" spans="1:2" ht="16.5" x14ac:dyDescent="0.3">
      <c r="A674" s="63"/>
      <c r="B674" s="63"/>
    </row>
    <row r="675" spans="1:2" ht="16.5" x14ac:dyDescent="0.3">
      <c r="A675" s="63"/>
      <c r="B675" s="63"/>
    </row>
    <row r="676" spans="1:2" ht="16.5" x14ac:dyDescent="0.3">
      <c r="A676" s="63"/>
      <c r="B676" s="63"/>
    </row>
    <row r="677" spans="1:2" ht="16.5" x14ac:dyDescent="0.3">
      <c r="A677" s="63"/>
      <c r="B677" s="63"/>
    </row>
    <row r="678" spans="1:2" ht="16.5" x14ac:dyDescent="0.3">
      <c r="A678" s="63"/>
      <c r="B678" s="63"/>
    </row>
    <row r="679" spans="1:2" ht="16.5" x14ac:dyDescent="0.3">
      <c r="A679" s="63"/>
      <c r="B679" s="63"/>
    </row>
    <row r="680" spans="1:2" ht="16.5" x14ac:dyDescent="0.3">
      <c r="A680" s="63"/>
      <c r="B680" s="63"/>
    </row>
    <row r="681" spans="1:2" ht="16.5" x14ac:dyDescent="0.3">
      <c r="A681" s="63"/>
      <c r="B681" s="63"/>
    </row>
    <row r="682" spans="1:2" ht="16.5" x14ac:dyDescent="0.3">
      <c r="A682" s="63"/>
      <c r="B682" s="63"/>
    </row>
    <row r="683" spans="1:2" ht="16.5" x14ac:dyDescent="0.3">
      <c r="A683" s="63"/>
      <c r="B683" s="63"/>
    </row>
    <row r="684" spans="1:2" ht="16.5" x14ac:dyDescent="0.3">
      <c r="A684" s="63"/>
      <c r="B684" s="63"/>
    </row>
    <row r="685" spans="1:2" ht="16.5" x14ac:dyDescent="0.3">
      <c r="A685" s="63"/>
      <c r="B685" s="63"/>
    </row>
    <row r="686" spans="1:2" ht="16.5" x14ac:dyDescent="0.3">
      <c r="A686" s="63"/>
      <c r="B686" s="63"/>
    </row>
    <row r="687" spans="1:2" ht="16.5" x14ac:dyDescent="0.3">
      <c r="A687" s="63"/>
      <c r="B687" s="63"/>
    </row>
    <row r="688" spans="1:2" ht="16.5" x14ac:dyDescent="0.3">
      <c r="A688" s="63"/>
      <c r="B688" s="63"/>
    </row>
    <row r="689" spans="1:2" ht="16.5" x14ac:dyDescent="0.3">
      <c r="A689" s="63"/>
      <c r="B689" s="63"/>
    </row>
    <row r="690" spans="1:2" ht="16.5" x14ac:dyDescent="0.3">
      <c r="A690" s="63"/>
      <c r="B690" s="63"/>
    </row>
    <row r="691" spans="1:2" ht="16.5" x14ac:dyDescent="0.3">
      <c r="A691" s="63"/>
      <c r="B691" s="63"/>
    </row>
    <row r="692" spans="1:2" ht="16.5" x14ac:dyDescent="0.3">
      <c r="A692" s="63"/>
      <c r="B692" s="63"/>
    </row>
    <row r="693" spans="1:2" ht="16.5" x14ac:dyDescent="0.3">
      <c r="A693" s="63"/>
      <c r="B693" s="63"/>
    </row>
    <row r="694" spans="1:2" ht="16.5" x14ac:dyDescent="0.3">
      <c r="A694" s="63"/>
      <c r="B694" s="63"/>
    </row>
    <row r="695" spans="1:2" ht="16.5" x14ac:dyDescent="0.3">
      <c r="A695" s="63"/>
      <c r="B695" s="63"/>
    </row>
    <row r="696" spans="1:2" ht="16.5" x14ac:dyDescent="0.3">
      <c r="A696" s="63"/>
      <c r="B696" s="63"/>
    </row>
    <row r="697" spans="1:2" ht="16.5" x14ac:dyDescent="0.3">
      <c r="A697" s="63"/>
      <c r="B697" s="63"/>
    </row>
    <row r="698" spans="1:2" ht="16.5" x14ac:dyDescent="0.3">
      <c r="A698" s="63"/>
      <c r="B698" s="63"/>
    </row>
    <row r="699" spans="1:2" ht="16.5" x14ac:dyDescent="0.3">
      <c r="A699" s="63"/>
      <c r="B699" s="63"/>
    </row>
    <row r="700" spans="1:2" ht="16.5" x14ac:dyDescent="0.3">
      <c r="A700" s="63"/>
      <c r="B700" s="63"/>
    </row>
    <row r="701" spans="1:2" ht="16.5" x14ac:dyDescent="0.3">
      <c r="A701" s="63"/>
      <c r="B701" s="63"/>
    </row>
    <row r="702" spans="1:2" ht="16.5" x14ac:dyDescent="0.3">
      <c r="A702" s="63"/>
      <c r="B702" s="63"/>
    </row>
    <row r="703" spans="1:2" ht="16.5" x14ac:dyDescent="0.3">
      <c r="A703" s="63"/>
      <c r="B703" s="63"/>
    </row>
    <row r="704" spans="1:2" ht="16.5" x14ac:dyDescent="0.3">
      <c r="A704" s="63"/>
      <c r="B704" s="63"/>
    </row>
    <row r="705" spans="1:2" ht="16.5" x14ac:dyDescent="0.3">
      <c r="A705" s="63"/>
      <c r="B705" s="63"/>
    </row>
    <row r="706" spans="1:2" ht="16.5" x14ac:dyDescent="0.3">
      <c r="A706" s="63"/>
      <c r="B706" s="63"/>
    </row>
    <row r="707" spans="1:2" ht="16.5" x14ac:dyDescent="0.3">
      <c r="A707" s="63"/>
      <c r="B707" s="63"/>
    </row>
    <row r="708" spans="1:2" ht="16.5" x14ac:dyDescent="0.3">
      <c r="A708" s="63"/>
      <c r="B708" s="63"/>
    </row>
    <row r="709" spans="1:2" ht="16.5" x14ac:dyDescent="0.3">
      <c r="A709" s="63"/>
      <c r="B709" s="63"/>
    </row>
    <row r="710" spans="1:2" ht="16.5" x14ac:dyDescent="0.3">
      <c r="A710" s="63"/>
      <c r="B710" s="63"/>
    </row>
    <row r="711" spans="1:2" ht="16.5" x14ac:dyDescent="0.3">
      <c r="A711" s="63"/>
      <c r="B711" s="63"/>
    </row>
    <row r="712" spans="1:2" ht="16.5" x14ac:dyDescent="0.3">
      <c r="A712" s="63"/>
      <c r="B712" s="63"/>
    </row>
    <row r="713" spans="1:2" ht="16.5" x14ac:dyDescent="0.3">
      <c r="A713" s="63"/>
      <c r="B713" s="63"/>
    </row>
    <row r="714" spans="1:2" ht="16.5" x14ac:dyDescent="0.3">
      <c r="A714" s="63"/>
      <c r="B714" s="63"/>
    </row>
    <row r="715" spans="1:2" ht="16.5" x14ac:dyDescent="0.3">
      <c r="A715" s="63"/>
      <c r="B715" s="63"/>
    </row>
    <row r="716" spans="1:2" ht="16.5" x14ac:dyDescent="0.3">
      <c r="A716" s="63"/>
      <c r="B716" s="63"/>
    </row>
    <row r="717" spans="1:2" ht="16.5" x14ac:dyDescent="0.3">
      <c r="A717" s="63"/>
      <c r="B717" s="63"/>
    </row>
    <row r="718" spans="1:2" ht="16.5" x14ac:dyDescent="0.3">
      <c r="A718" s="63"/>
      <c r="B718" s="63"/>
    </row>
    <row r="719" spans="1:2" ht="16.5" x14ac:dyDescent="0.3">
      <c r="A719" s="63"/>
      <c r="B719" s="63"/>
    </row>
    <row r="720" spans="1:2" ht="16.5" x14ac:dyDescent="0.3">
      <c r="A720" s="63"/>
      <c r="B720" s="63"/>
    </row>
    <row r="721" spans="1:2" ht="16.5" x14ac:dyDescent="0.3">
      <c r="A721" s="63"/>
      <c r="B721" s="63"/>
    </row>
    <row r="722" spans="1:2" ht="16.5" x14ac:dyDescent="0.3">
      <c r="A722" s="63"/>
      <c r="B722" s="63"/>
    </row>
    <row r="723" spans="1:2" ht="16.5" x14ac:dyDescent="0.3">
      <c r="A723" s="63"/>
      <c r="B723" s="63"/>
    </row>
    <row r="724" spans="1:2" ht="16.5" x14ac:dyDescent="0.3">
      <c r="A724" s="63"/>
      <c r="B724" s="63"/>
    </row>
    <row r="725" spans="1:2" ht="16.5" x14ac:dyDescent="0.3">
      <c r="A725" s="63"/>
      <c r="B725" s="63"/>
    </row>
    <row r="726" spans="1:2" ht="16.5" x14ac:dyDescent="0.3">
      <c r="A726" s="63"/>
      <c r="B726" s="63"/>
    </row>
    <row r="727" spans="1:2" ht="16.5" x14ac:dyDescent="0.3">
      <c r="A727" s="63"/>
      <c r="B727" s="63"/>
    </row>
    <row r="728" spans="1:2" ht="16.5" x14ac:dyDescent="0.3">
      <c r="A728" s="63"/>
      <c r="B728" s="63"/>
    </row>
    <row r="729" spans="1:2" ht="16.5" x14ac:dyDescent="0.3">
      <c r="A729" s="63"/>
      <c r="B729" s="63"/>
    </row>
    <row r="730" spans="1:2" ht="16.5" x14ac:dyDescent="0.3">
      <c r="A730" s="63"/>
      <c r="B730" s="63"/>
    </row>
    <row r="731" spans="1:2" ht="16.5" x14ac:dyDescent="0.3">
      <c r="A731" s="63"/>
      <c r="B731" s="63"/>
    </row>
    <row r="732" spans="1:2" ht="16.5" x14ac:dyDescent="0.3">
      <c r="A732" s="63"/>
      <c r="B732" s="63"/>
    </row>
    <row r="733" spans="1:2" ht="16.5" x14ac:dyDescent="0.3">
      <c r="A733" s="63"/>
      <c r="B733" s="63"/>
    </row>
    <row r="734" spans="1:2" ht="16.5" x14ac:dyDescent="0.3">
      <c r="A734" s="63"/>
      <c r="B734" s="63"/>
    </row>
    <row r="735" spans="1:2" ht="16.5" x14ac:dyDescent="0.3">
      <c r="A735" s="63"/>
      <c r="B735" s="63"/>
    </row>
    <row r="736" spans="1:2" ht="16.5" x14ac:dyDescent="0.3">
      <c r="A736" s="63"/>
      <c r="B736" s="63"/>
    </row>
    <row r="737" spans="1:2" ht="16.5" x14ac:dyDescent="0.3">
      <c r="A737" s="63"/>
      <c r="B737" s="63"/>
    </row>
    <row r="738" spans="1:2" ht="16.5" x14ac:dyDescent="0.3">
      <c r="A738" s="63"/>
      <c r="B738" s="63"/>
    </row>
    <row r="739" spans="1:2" ht="16.5" x14ac:dyDescent="0.3">
      <c r="A739" s="63"/>
      <c r="B739" s="63"/>
    </row>
    <row r="740" spans="1:2" ht="16.5" x14ac:dyDescent="0.3">
      <c r="A740" s="63"/>
      <c r="B740" s="63"/>
    </row>
    <row r="741" spans="1:2" ht="16.5" x14ac:dyDescent="0.3">
      <c r="A741" s="63"/>
      <c r="B741" s="63"/>
    </row>
    <row r="742" spans="1:2" ht="16.5" x14ac:dyDescent="0.3">
      <c r="A742" s="63"/>
      <c r="B742" s="63"/>
    </row>
    <row r="743" spans="1:2" ht="16.5" x14ac:dyDescent="0.3">
      <c r="A743" s="63"/>
      <c r="B743" s="63"/>
    </row>
    <row r="744" spans="1:2" ht="16.5" x14ac:dyDescent="0.3">
      <c r="A744" s="63"/>
      <c r="B744" s="63"/>
    </row>
    <row r="745" spans="1:2" ht="16.5" x14ac:dyDescent="0.3">
      <c r="A745" s="63"/>
      <c r="B745" s="63"/>
    </row>
    <row r="746" spans="1:2" ht="16.5" x14ac:dyDescent="0.3">
      <c r="A746" s="63"/>
      <c r="B746" s="63"/>
    </row>
    <row r="747" spans="1:2" ht="16.5" x14ac:dyDescent="0.3">
      <c r="A747" s="63"/>
      <c r="B747" s="63"/>
    </row>
    <row r="748" spans="1:2" ht="16.5" x14ac:dyDescent="0.3">
      <c r="A748" s="63"/>
      <c r="B748" s="63"/>
    </row>
    <row r="749" spans="1:2" ht="16.5" x14ac:dyDescent="0.3">
      <c r="A749" s="63"/>
      <c r="B749" s="63"/>
    </row>
    <row r="750" spans="1:2" ht="16.5" x14ac:dyDescent="0.3">
      <c r="A750" s="63"/>
      <c r="B750" s="63"/>
    </row>
    <row r="751" spans="1:2" ht="16.5" x14ac:dyDescent="0.3">
      <c r="A751" s="63"/>
      <c r="B751" s="63"/>
    </row>
    <row r="752" spans="1:2" ht="16.5" x14ac:dyDescent="0.3">
      <c r="A752" s="63"/>
      <c r="B752" s="63"/>
    </row>
    <row r="753" spans="1:2" ht="16.5" x14ac:dyDescent="0.3">
      <c r="A753" s="63"/>
      <c r="B753" s="63"/>
    </row>
    <row r="754" spans="1:2" ht="16.5" x14ac:dyDescent="0.3">
      <c r="A754" s="63"/>
      <c r="B754" s="63"/>
    </row>
    <row r="755" spans="1:2" ht="16.5" x14ac:dyDescent="0.3">
      <c r="A755" s="63"/>
      <c r="B755" s="63"/>
    </row>
    <row r="756" spans="1:2" ht="16.5" x14ac:dyDescent="0.3">
      <c r="A756" s="63"/>
      <c r="B756" s="63"/>
    </row>
    <row r="757" spans="1:2" ht="16.5" x14ac:dyDescent="0.3">
      <c r="A757" s="63"/>
      <c r="B757" s="63"/>
    </row>
    <row r="758" spans="1:2" ht="16.5" x14ac:dyDescent="0.3">
      <c r="A758" s="63"/>
      <c r="B758" s="63"/>
    </row>
    <row r="759" spans="1:2" ht="16.5" x14ac:dyDescent="0.3">
      <c r="A759" s="63"/>
      <c r="B759" s="63"/>
    </row>
    <row r="760" spans="1:2" ht="16.5" x14ac:dyDescent="0.3">
      <c r="A760" s="63"/>
      <c r="B760" s="63"/>
    </row>
    <row r="761" spans="1:2" ht="16.5" x14ac:dyDescent="0.3">
      <c r="A761" s="63"/>
      <c r="B761" s="63"/>
    </row>
    <row r="762" spans="1:2" ht="16.5" x14ac:dyDescent="0.3">
      <c r="A762" s="63"/>
      <c r="B762" s="63"/>
    </row>
    <row r="763" spans="1:2" ht="16.5" x14ac:dyDescent="0.3">
      <c r="A763" s="63"/>
      <c r="B763" s="63"/>
    </row>
    <row r="764" spans="1:2" ht="16.5" x14ac:dyDescent="0.3">
      <c r="A764" s="63"/>
      <c r="B764" s="63"/>
    </row>
    <row r="765" spans="1:2" ht="16.5" x14ac:dyDescent="0.3">
      <c r="A765" s="63"/>
      <c r="B765" s="63"/>
    </row>
    <row r="766" spans="1:2" ht="16.5" x14ac:dyDescent="0.3">
      <c r="A766" s="63"/>
      <c r="B766" s="63"/>
    </row>
    <row r="767" spans="1:2" ht="16.5" x14ac:dyDescent="0.3">
      <c r="A767" s="63"/>
      <c r="B767" s="63"/>
    </row>
    <row r="768" spans="1:2" ht="16.5" x14ac:dyDescent="0.3">
      <c r="A768" s="63"/>
      <c r="B768" s="63"/>
    </row>
    <row r="769" spans="1:2" ht="16.5" x14ac:dyDescent="0.3">
      <c r="A769" s="63"/>
      <c r="B769" s="63"/>
    </row>
    <row r="770" spans="1:2" ht="16.5" x14ac:dyDescent="0.3">
      <c r="A770" s="63"/>
      <c r="B770" s="63"/>
    </row>
    <row r="771" spans="1:2" ht="16.5" x14ac:dyDescent="0.3">
      <c r="A771" s="63"/>
      <c r="B771" s="63"/>
    </row>
    <row r="772" spans="1:2" ht="16.5" x14ac:dyDescent="0.3">
      <c r="A772" s="63"/>
      <c r="B772" s="63"/>
    </row>
    <row r="773" spans="1:2" ht="16.5" x14ac:dyDescent="0.3">
      <c r="A773" s="63"/>
      <c r="B773" s="63"/>
    </row>
    <row r="774" spans="1:2" ht="16.5" x14ac:dyDescent="0.3">
      <c r="A774" s="63"/>
      <c r="B774" s="63"/>
    </row>
    <row r="775" spans="1:2" ht="16.5" x14ac:dyDescent="0.3">
      <c r="A775" s="63"/>
      <c r="B775" s="63"/>
    </row>
    <row r="776" spans="1:2" ht="16.5" x14ac:dyDescent="0.3">
      <c r="A776" s="63"/>
      <c r="B776" s="63"/>
    </row>
    <row r="777" spans="1:2" ht="16.5" x14ac:dyDescent="0.3">
      <c r="A777" s="63"/>
      <c r="B777" s="63"/>
    </row>
    <row r="778" spans="1:2" ht="16.5" x14ac:dyDescent="0.3">
      <c r="A778" s="63"/>
      <c r="B778" s="63"/>
    </row>
    <row r="779" spans="1:2" ht="16.5" x14ac:dyDescent="0.3">
      <c r="A779" s="63"/>
      <c r="B779" s="63"/>
    </row>
    <row r="780" spans="1:2" ht="16.5" x14ac:dyDescent="0.3">
      <c r="A780" s="63"/>
      <c r="B780" s="63"/>
    </row>
    <row r="781" spans="1:2" ht="16.5" x14ac:dyDescent="0.3">
      <c r="A781" s="63"/>
      <c r="B781" s="63"/>
    </row>
    <row r="782" spans="1:2" ht="16.5" x14ac:dyDescent="0.3">
      <c r="A782" s="63"/>
      <c r="B782" s="63"/>
    </row>
    <row r="783" spans="1:2" ht="16.5" x14ac:dyDescent="0.3">
      <c r="A783" s="63"/>
      <c r="B783" s="63"/>
    </row>
    <row r="784" spans="1:2" ht="16.5" x14ac:dyDescent="0.3">
      <c r="A784" s="63"/>
      <c r="B784" s="63"/>
    </row>
    <row r="785" spans="1:2" ht="16.5" x14ac:dyDescent="0.3">
      <c r="A785" s="63"/>
      <c r="B785" s="63"/>
    </row>
    <row r="786" spans="1:2" ht="16.5" x14ac:dyDescent="0.3">
      <c r="A786" s="63"/>
      <c r="B786" s="63"/>
    </row>
    <row r="787" spans="1:2" ht="16.5" x14ac:dyDescent="0.3">
      <c r="A787" s="63"/>
      <c r="B787" s="63"/>
    </row>
    <row r="788" spans="1:2" ht="16.5" x14ac:dyDescent="0.3">
      <c r="A788" s="63"/>
      <c r="B788" s="63"/>
    </row>
    <row r="789" spans="1:2" ht="16.5" x14ac:dyDescent="0.3">
      <c r="A789" s="63"/>
      <c r="B789" s="63"/>
    </row>
    <row r="790" spans="1:2" ht="16.5" x14ac:dyDescent="0.3">
      <c r="A790" s="63"/>
      <c r="B790" s="63"/>
    </row>
    <row r="791" spans="1:2" ht="16.5" x14ac:dyDescent="0.3">
      <c r="A791" s="63"/>
      <c r="B791" s="63"/>
    </row>
    <row r="792" spans="1:2" ht="16.5" x14ac:dyDescent="0.3">
      <c r="A792" s="63"/>
      <c r="B792" s="63"/>
    </row>
    <row r="793" spans="1:2" ht="16.5" x14ac:dyDescent="0.3">
      <c r="A793" s="63"/>
      <c r="B793" s="63"/>
    </row>
    <row r="794" spans="1:2" ht="16.5" x14ac:dyDescent="0.3">
      <c r="A794" s="63"/>
      <c r="B794" s="63"/>
    </row>
    <row r="795" spans="1:2" ht="16.5" x14ac:dyDescent="0.3">
      <c r="A795" s="63"/>
      <c r="B795" s="63"/>
    </row>
    <row r="796" spans="1:2" ht="16.5" x14ac:dyDescent="0.3">
      <c r="A796" s="63"/>
      <c r="B796" s="63"/>
    </row>
    <row r="797" spans="1:2" ht="16.5" x14ac:dyDescent="0.3">
      <c r="A797" s="63"/>
      <c r="B797" s="63"/>
    </row>
    <row r="798" spans="1:2" ht="16.5" x14ac:dyDescent="0.3">
      <c r="A798" s="63"/>
      <c r="B798" s="63"/>
    </row>
    <row r="799" spans="1:2" ht="16.5" x14ac:dyDescent="0.3">
      <c r="A799" s="63"/>
      <c r="B799" s="63"/>
    </row>
    <row r="800" spans="1:2" ht="16.5" x14ac:dyDescent="0.3">
      <c r="A800" s="63"/>
      <c r="B800" s="63"/>
    </row>
    <row r="801" spans="1:2" ht="16.5" x14ac:dyDescent="0.3">
      <c r="A801" s="63"/>
      <c r="B801" s="63"/>
    </row>
    <row r="802" spans="1:2" ht="16.5" x14ac:dyDescent="0.3">
      <c r="A802" s="63"/>
      <c r="B802" s="63"/>
    </row>
    <row r="803" spans="1:2" ht="16.5" x14ac:dyDescent="0.3">
      <c r="A803" s="63"/>
      <c r="B803" s="63"/>
    </row>
    <row r="804" spans="1:2" ht="16.5" x14ac:dyDescent="0.3">
      <c r="A804" s="63"/>
      <c r="B804" s="63"/>
    </row>
    <row r="805" spans="1:2" ht="16.5" x14ac:dyDescent="0.3">
      <c r="A805" s="63"/>
      <c r="B805" s="63"/>
    </row>
    <row r="806" spans="1:2" ht="16.5" x14ac:dyDescent="0.3">
      <c r="A806" s="63"/>
      <c r="B806" s="63"/>
    </row>
    <row r="807" spans="1:2" ht="16.5" x14ac:dyDescent="0.3">
      <c r="A807" s="63"/>
      <c r="B807" s="63"/>
    </row>
    <row r="808" spans="1:2" ht="16.5" x14ac:dyDescent="0.3">
      <c r="A808" s="63"/>
      <c r="B808" s="63"/>
    </row>
    <row r="809" spans="1:2" ht="16.5" x14ac:dyDescent="0.3">
      <c r="A809" s="63"/>
      <c r="B809" s="63"/>
    </row>
    <row r="810" spans="1:2" ht="16.5" x14ac:dyDescent="0.3">
      <c r="A810" s="63"/>
      <c r="B810" s="63"/>
    </row>
    <row r="811" spans="1:2" ht="16.5" x14ac:dyDescent="0.3">
      <c r="A811" s="63"/>
      <c r="B811" s="63"/>
    </row>
    <row r="812" spans="1:2" ht="16.5" x14ac:dyDescent="0.3">
      <c r="A812" s="63"/>
      <c r="B812" s="63"/>
    </row>
    <row r="813" spans="1:2" ht="16.5" x14ac:dyDescent="0.3">
      <c r="A813" s="63"/>
      <c r="B813" s="63"/>
    </row>
    <row r="814" spans="1:2" ht="16.5" x14ac:dyDescent="0.3">
      <c r="A814" s="63"/>
      <c r="B814" s="63"/>
    </row>
    <row r="815" spans="1:2" ht="16.5" x14ac:dyDescent="0.3">
      <c r="A815" s="63"/>
      <c r="B815" s="63"/>
    </row>
    <row r="816" spans="1:2" ht="16.5" x14ac:dyDescent="0.3">
      <c r="A816" s="63"/>
      <c r="B816" s="63"/>
    </row>
    <row r="817" spans="1:2" ht="16.5" x14ac:dyDescent="0.3">
      <c r="A817" s="63"/>
      <c r="B817" s="63"/>
    </row>
    <row r="818" spans="1:2" ht="16.5" x14ac:dyDescent="0.3">
      <c r="A818" s="63"/>
      <c r="B818" s="63"/>
    </row>
    <row r="819" spans="1:2" ht="16.5" x14ac:dyDescent="0.3">
      <c r="A819" s="63"/>
      <c r="B819" s="63"/>
    </row>
    <row r="820" spans="1:2" ht="16.5" x14ac:dyDescent="0.3">
      <c r="A820" s="63"/>
      <c r="B820" s="63"/>
    </row>
    <row r="821" spans="1:2" ht="16.5" x14ac:dyDescent="0.3">
      <c r="A821" s="63"/>
      <c r="B821" s="63"/>
    </row>
    <row r="822" spans="1:2" ht="16.5" x14ac:dyDescent="0.3">
      <c r="A822" s="63"/>
      <c r="B822" s="63"/>
    </row>
    <row r="823" spans="1:2" ht="16.5" x14ac:dyDescent="0.3">
      <c r="A823" s="63"/>
      <c r="B823" s="63"/>
    </row>
    <row r="824" spans="1:2" ht="16.5" x14ac:dyDescent="0.3">
      <c r="A824" s="63"/>
      <c r="B824" s="63"/>
    </row>
    <row r="825" spans="1:2" ht="16.5" x14ac:dyDescent="0.3">
      <c r="A825" s="63"/>
      <c r="B825" s="63"/>
    </row>
    <row r="826" spans="1:2" ht="16.5" x14ac:dyDescent="0.3">
      <c r="A826" s="63"/>
      <c r="B826" s="63"/>
    </row>
    <row r="827" spans="1:2" ht="16.5" x14ac:dyDescent="0.3">
      <c r="A827" s="63"/>
      <c r="B827" s="63"/>
    </row>
    <row r="828" spans="1:2" ht="16.5" x14ac:dyDescent="0.3">
      <c r="A828" s="63"/>
      <c r="B828" s="63"/>
    </row>
    <row r="829" spans="1:2" ht="16.5" x14ac:dyDescent="0.3">
      <c r="A829" s="63"/>
      <c r="B829" s="63"/>
    </row>
    <row r="830" spans="1:2" ht="16.5" x14ac:dyDescent="0.3">
      <c r="A830" s="63"/>
      <c r="B830" s="63"/>
    </row>
    <row r="831" spans="1:2" ht="16.5" x14ac:dyDescent="0.3">
      <c r="A831" s="63"/>
      <c r="B831" s="63"/>
    </row>
    <row r="832" spans="1:2" ht="16.5" x14ac:dyDescent="0.3">
      <c r="A832" s="63"/>
      <c r="B832" s="63"/>
    </row>
    <row r="833" spans="1:2" ht="16.5" x14ac:dyDescent="0.3">
      <c r="A833" s="63"/>
      <c r="B833" s="63"/>
    </row>
    <row r="834" spans="1:2" ht="16.5" x14ac:dyDescent="0.3">
      <c r="A834" s="63"/>
      <c r="B834" s="63"/>
    </row>
    <row r="835" spans="1:2" ht="16.5" x14ac:dyDescent="0.3">
      <c r="A835" s="63"/>
      <c r="B835" s="63"/>
    </row>
    <row r="836" spans="1:2" ht="16.5" x14ac:dyDescent="0.3">
      <c r="A836" s="63"/>
      <c r="B836" s="63"/>
    </row>
    <row r="837" spans="1:2" ht="16.5" x14ac:dyDescent="0.3">
      <c r="A837" s="63"/>
      <c r="B837" s="63"/>
    </row>
    <row r="838" spans="1:2" ht="16.5" x14ac:dyDescent="0.3">
      <c r="A838" s="63"/>
      <c r="B838" s="63"/>
    </row>
    <row r="839" spans="1:2" ht="16.5" x14ac:dyDescent="0.3">
      <c r="A839" s="63"/>
      <c r="B839" s="63"/>
    </row>
    <row r="840" spans="1:2" ht="16.5" x14ac:dyDescent="0.3">
      <c r="A840" s="63"/>
      <c r="B840" s="63"/>
    </row>
    <row r="841" spans="1:2" ht="16.5" x14ac:dyDescent="0.3">
      <c r="A841" s="63"/>
      <c r="B841" s="63"/>
    </row>
    <row r="842" spans="1:2" ht="16.5" x14ac:dyDescent="0.3">
      <c r="A842" s="63"/>
      <c r="B842" s="63"/>
    </row>
    <row r="843" spans="1:2" ht="16.5" x14ac:dyDescent="0.3">
      <c r="A843" s="63"/>
      <c r="B843" s="63"/>
    </row>
    <row r="844" spans="1:2" ht="16.5" x14ac:dyDescent="0.3">
      <c r="A844" s="63"/>
      <c r="B844" s="63"/>
    </row>
    <row r="845" spans="1:2" ht="16.5" x14ac:dyDescent="0.3">
      <c r="A845" s="63"/>
      <c r="B845" s="63"/>
    </row>
    <row r="846" spans="1:2" ht="16.5" x14ac:dyDescent="0.3">
      <c r="A846" s="63"/>
      <c r="B846" s="63"/>
    </row>
    <row r="847" spans="1:2" ht="16.5" x14ac:dyDescent="0.3">
      <c r="A847" s="63"/>
      <c r="B847" s="63"/>
    </row>
    <row r="848" spans="1:2" ht="16.5" x14ac:dyDescent="0.3">
      <c r="A848" s="63"/>
      <c r="B848" s="63"/>
    </row>
    <row r="849" spans="1:2" ht="16.5" x14ac:dyDescent="0.3">
      <c r="A849" s="63"/>
      <c r="B849" s="63"/>
    </row>
    <row r="850" spans="1:2" ht="16.5" x14ac:dyDescent="0.3">
      <c r="A850" s="63"/>
      <c r="B850" s="63"/>
    </row>
    <row r="851" spans="1:2" ht="16.5" x14ac:dyDescent="0.3">
      <c r="A851" s="63"/>
      <c r="B851" s="63"/>
    </row>
    <row r="852" spans="1:2" ht="16.5" x14ac:dyDescent="0.3">
      <c r="A852" s="63"/>
      <c r="B852" s="63"/>
    </row>
    <row r="853" spans="1:2" ht="16.5" x14ac:dyDescent="0.3">
      <c r="A853" s="63"/>
      <c r="B853" s="63"/>
    </row>
    <row r="854" spans="1:2" ht="16.5" x14ac:dyDescent="0.3">
      <c r="A854" s="63"/>
      <c r="B854" s="63"/>
    </row>
    <row r="855" spans="1:2" ht="16.5" x14ac:dyDescent="0.3">
      <c r="A855" s="63"/>
      <c r="B855" s="63"/>
    </row>
    <row r="856" spans="1:2" ht="16.5" x14ac:dyDescent="0.3">
      <c r="A856" s="63"/>
      <c r="B856" s="63"/>
    </row>
    <row r="857" spans="1:2" ht="16.5" x14ac:dyDescent="0.3">
      <c r="A857" s="63"/>
      <c r="B857" s="63"/>
    </row>
    <row r="858" spans="1:2" ht="16.5" x14ac:dyDescent="0.3">
      <c r="A858" s="63"/>
      <c r="B858" s="63"/>
    </row>
    <row r="859" spans="1:2" ht="16.5" x14ac:dyDescent="0.3">
      <c r="A859" s="63"/>
      <c r="B859" s="63"/>
    </row>
    <row r="860" spans="1:2" ht="16.5" x14ac:dyDescent="0.3">
      <c r="A860" s="63"/>
      <c r="B860" s="63"/>
    </row>
    <row r="861" spans="1:2" ht="16.5" x14ac:dyDescent="0.3">
      <c r="A861" s="63"/>
      <c r="B861" s="63"/>
    </row>
    <row r="862" spans="1:2" ht="16.5" x14ac:dyDescent="0.3">
      <c r="A862" s="63"/>
      <c r="B862" s="63"/>
    </row>
    <row r="863" spans="1:2" ht="16.5" x14ac:dyDescent="0.3">
      <c r="A863" s="63"/>
      <c r="B863" s="63"/>
    </row>
    <row r="864" spans="1:2" ht="16.5" x14ac:dyDescent="0.3">
      <c r="A864" s="63"/>
      <c r="B864" s="63"/>
    </row>
    <row r="865" spans="1:2" ht="16.5" x14ac:dyDescent="0.3">
      <c r="A865" s="63"/>
      <c r="B865" s="63"/>
    </row>
    <row r="866" spans="1:2" ht="16.5" x14ac:dyDescent="0.3">
      <c r="A866" s="63"/>
      <c r="B866" s="63"/>
    </row>
    <row r="867" spans="1:2" ht="16.5" x14ac:dyDescent="0.3">
      <c r="A867" s="63"/>
      <c r="B867" s="63"/>
    </row>
    <row r="868" spans="1:2" ht="16.5" x14ac:dyDescent="0.3">
      <c r="A868" s="63"/>
      <c r="B868" s="63"/>
    </row>
    <row r="869" spans="1:2" ht="16.5" x14ac:dyDescent="0.3">
      <c r="A869" s="63"/>
      <c r="B869" s="63"/>
    </row>
    <row r="870" spans="1:2" ht="16.5" x14ac:dyDescent="0.3">
      <c r="A870" s="63"/>
      <c r="B870" s="63"/>
    </row>
    <row r="871" spans="1:2" ht="16.5" x14ac:dyDescent="0.3">
      <c r="A871" s="63"/>
      <c r="B871" s="63"/>
    </row>
    <row r="872" spans="1:2" ht="16.5" x14ac:dyDescent="0.3">
      <c r="A872" s="63"/>
      <c r="B872" s="63"/>
    </row>
    <row r="873" spans="1:2" ht="16.5" x14ac:dyDescent="0.3">
      <c r="A873" s="63"/>
      <c r="B873" s="63"/>
    </row>
    <row r="874" spans="1:2" ht="16.5" x14ac:dyDescent="0.3">
      <c r="A874" s="63"/>
      <c r="B874" s="63"/>
    </row>
    <row r="875" spans="1:2" ht="16.5" x14ac:dyDescent="0.3">
      <c r="A875" s="63"/>
      <c r="B875" s="63"/>
    </row>
    <row r="876" spans="1:2" ht="16.5" x14ac:dyDescent="0.3">
      <c r="A876" s="63"/>
      <c r="B876" s="63"/>
    </row>
    <row r="877" spans="1:2" ht="16.5" x14ac:dyDescent="0.3">
      <c r="A877" s="63"/>
      <c r="B877" s="63"/>
    </row>
    <row r="878" spans="1:2" ht="16.5" x14ac:dyDescent="0.3">
      <c r="A878" s="63"/>
      <c r="B878" s="63"/>
    </row>
    <row r="879" spans="1:2" ht="16.5" x14ac:dyDescent="0.3">
      <c r="A879" s="63"/>
      <c r="B879" s="63"/>
    </row>
    <row r="880" spans="1:2" ht="16.5" x14ac:dyDescent="0.3">
      <c r="A880" s="63"/>
      <c r="B880" s="63"/>
    </row>
    <row r="881" spans="1:2" ht="16.5" x14ac:dyDescent="0.3">
      <c r="A881" s="63"/>
      <c r="B881" s="63"/>
    </row>
    <row r="882" spans="1:2" ht="16.5" x14ac:dyDescent="0.3">
      <c r="A882" s="63"/>
      <c r="B882" s="63"/>
    </row>
    <row r="883" spans="1:2" ht="16.5" x14ac:dyDescent="0.3">
      <c r="A883" s="63"/>
      <c r="B883" s="63"/>
    </row>
    <row r="884" spans="1:2" ht="16.5" x14ac:dyDescent="0.3">
      <c r="A884" s="63"/>
      <c r="B884" s="63"/>
    </row>
    <row r="885" spans="1:2" ht="16.5" x14ac:dyDescent="0.3">
      <c r="A885" s="63"/>
      <c r="B885" s="63"/>
    </row>
    <row r="886" spans="1:2" ht="16.5" x14ac:dyDescent="0.3">
      <c r="A886" s="63"/>
      <c r="B886" s="63"/>
    </row>
    <row r="887" spans="1:2" ht="16.5" x14ac:dyDescent="0.3">
      <c r="A887" s="63"/>
      <c r="B887" s="63"/>
    </row>
    <row r="888" spans="1:2" ht="16.5" x14ac:dyDescent="0.3">
      <c r="A888" s="63"/>
      <c r="B888" s="63"/>
    </row>
    <row r="889" spans="1:2" ht="16.5" x14ac:dyDescent="0.3">
      <c r="A889" s="63"/>
      <c r="B889" s="63"/>
    </row>
    <row r="890" spans="1:2" ht="16.5" x14ac:dyDescent="0.3">
      <c r="A890" s="63"/>
      <c r="B890" s="63"/>
    </row>
    <row r="891" spans="1:2" ht="16.5" x14ac:dyDescent="0.3">
      <c r="A891" s="63"/>
      <c r="B891" s="63"/>
    </row>
    <row r="892" spans="1:2" ht="16.5" x14ac:dyDescent="0.3">
      <c r="A892" s="63"/>
      <c r="B892" s="63"/>
    </row>
    <row r="893" spans="1:2" ht="16.5" x14ac:dyDescent="0.3">
      <c r="A893" s="63"/>
      <c r="B893" s="63"/>
    </row>
    <row r="894" spans="1:2" ht="16.5" x14ac:dyDescent="0.3">
      <c r="A894" s="63"/>
      <c r="B894" s="63"/>
    </row>
    <row r="895" spans="1:2" ht="16.5" x14ac:dyDescent="0.3">
      <c r="A895" s="63"/>
      <c r="B895" s="63"/>
    </row>
    <row r="896" spans="1:2" ht="16.5" x14ac:dyDescent="0.3">
      <c r="A896" s="63"/>
      <c r="B896" s="63"/>
    </row>
    <row r="897" spans="1:2" ht="16.5" x14ac:dyDescent="0.3">
      <c r="A897" s="63"/>
      <c r="B897" s="63"/>
    </row>
    <row r="898" spans="1:2" ht="16.5" x14ac:dyDescent="0.3">
      <c r="A898" s="63"/>
      <c r="B898" s="63"/>
    </row>
    <row r="899" spans="1:2" ht="16.5" x14ac:dyDescent="0.3">
      <c r="A899" s="63"/>
      <c r="B899" s="63"/>
    </row>
    <row r="900" spans="1:2" ht="16.5" x14ac:dyDescent="0.3">
      <c r="A900" s="63"/>
      <c r="B900" s="63"/>
    </row>
    <row r="901" spans="1:2" ht="16.5" x14ac:dyDescent="0.3">
      <c r="A901" s="63"/>
      <c r="B901" s="63"/>
    </row>
    <row r="902" spans="1:2" ht="16.5" x14ac:dyDescent="0.3">
      <c r="A902" s="63"/>
      <c r="B902" s="63"/>
    </row>
    <row r="903" spans="1:2" ht="16.5" x14ac:dyDescent="0.3">
      <c r="A903" s="63"/>
      <c r="B903" s="63"/>
    </row>
    <row r="904" spans="1:2" ht="16.5" x14ac:dyDescent="0.3">
      <c r="A904" s="63"/>
      <c r="B904" s="63"/>
    </row>
    <row r="905" spans="1:2" ht="16.5" x14ac:dyDescent="0.3">
      <c r="A905" s="63"/>
      <c r="B905" s="63"/>
    </row>
    <row r="906" spans="1:2" ht="16.5" x14ac:dyDescent="0.3">
      <c r="A906" s="63"/>
      <c r="B906" s="63"/>
    </row>
    <row r="907" spans="1:2" ht="16.5" x14ac:dyDescent="0.3">
      <c r="A907" s="63"/>
      <c r="B907" s="63"/>
    </row>
    <row r="908" spans="1:2" ht="16.5" x14ac:dyDescent="0.3">
      <c r="A908" s="63"/>
      <c r="B908" s="63"/>
    </row>
    <row r="909" spans="1:2" ht="16.5" x14ac:dyDescent="0.3">
      <c r="A909" s="63"/>
      <c r="B909" s="63"/>
    </row>
    <row r="910" spans="1:2" ht="16.5" x14ac:dyDescent="0.3">
      <c r="A910" s="63"/>
      <c r="B910" s="63"/>
    </row>
    <row r="911" spans="1:2" ht="16.5" x14ac:dyDescent="0.3">
      <c r="A911" s="63"/>
      <c r="B911" s="63"/>
    </row>
    <row r="912" spans="1:2" ht="16.5" x14ac:dyDescent="0.3">
      <c r="A912" s="63"/>
      <c r="B912" s="63"/>
    </row>
    <row r="913" spans="1:2" ht="16.5" x14ac:dyDescent="0.3">
      <c r="A913" s="63"/>
      <c r="B913" s="63"/>
    </row>
    <row r="914" spans="1:2" ht="16.5" x14ac:dyDescent="0.3">
      <c r="A914" s="63"/>
      <c r="B914" s="63"/>
    </row>
    <row r="915" spans="1:2" ht="16.5" x14ac:dyDescent="0.3">
      <c r="A915" s="63"/>
      <c r="B915" s="63"/>
    </row>
    <row r="916" spans="1:2" ht="16.5" x14ac:dyDescent="0.3">
      <c r="A916" s="63"/>
      <c r="B916" s="63"/>
    </row>
    <row r="917" spans="1:2" ht="16.5" x14ac:dyDescent="0.3">
      <c r="A917" s="63"/>
      <c r="B917" s="63"/>
    </row>
    <row r="918" spans="1:2" ht="16.5" x14ac:dyDescent="0.3">
      <c r="A918" s="63"/>
      <c r="B918" s="63"/>
    </row>
    <row r="919" spans="1:2" ht="16.5" x14ac:dyDescent="0.3">
      <c r="A919" s="63"/>
      <c r="B919" s="63"/>
    </row>
    <row r="920" spans="1:2" ht="16.5" x14ac:dyDescent="0.3">
      <c r="A920" s="63"/>
      <c r="B920" s="63"/>
    </row>
    <row r="921" spans="1:2" ht="16.5" x14ac:dyDescent="0.3">
      <c r="A921" s="63"/>
      <c r="B921" s="63"/>
    </row>
    <row r="922" spans="1:2" ht="16.5" x14ac:dyDescent="0.3">
      <c r="A922" s="63"/>
      <c r="B922" s="63"/>
    </row>
    <row r="923" spans="1:2" ht="16.5" x14ac:dyDescent="0.3">
      <c r="A923" s="63"/>
      <c r="B923" s="63"/>
    </row>
    <row r="924" spans="1:2" ht="16.5" x14ac:dyDescent="0.3">
      <c r="A924" s="63"/>
      <c r="B924" s="63"/>
    </row>
    <row r="925" spans="1:2" ht="16.5" x14ac:dyDescent="0.3">
      <c r="A925" s="63"/>
      <c r="B925" s="63"/>
    </row>
    <row r="926" spans="1:2" ht="16.5" x14ac:dyDescent="0.3">
      <c r="A926" s="63"/>
      <c r="B926" s="63"/>
    </row>
    <row r="927" spans="1:2" ht="16.5" x14ac:dyDescent="0.3">
      <c r="A927" s="63"/>
      <c r="B927" s="63"/>
    </row>
    <row r="928" spans="1:2" ht="16.5" x14ac:dyDescent="0.3">
      <c r="A928" s="63"/>
      <c r="B928" s="63"/>
    </row>
    <row r="929" spans="1:2" ht="16.5" x14ac:dyDescent="0.3">
      <c r="A929" s="63"/>
      <c r="B929" s="63"/>
    </row>
    <row r="930" spans="1:2" ht="16.5" x14ac:dyDescent="0.3">
      <c r="A930" s="63"/>
      <c r="B930" s="63"/>
    </row>
    <row r="931" spans="1:2" ht="16.5" x14ac:dyDescent="0.3">
      <c r="A931" s="63"/>
      <c r="B931" s="63"/>
    </row>
    <row r="932" spans="1:2" ht="16.5" x14ac:dyDescent="0.3">
      <c r="A932" s="63"/>
      <c r="B932" s="63"/>
    </row>
    <row r="933" spans="1:2" ht="16.5" x14ac:dyDescent="0.3">
      <c r="A933" s="63"/>
      <c r="B933" s="63"/>
    </row>
    <row r="934" spans="1:2" ht="16.5" x14ac:dyDescent="0.3">
      <c r="A934" s="63"/>
      <c r="B934" s="63"/>
    </row>
    <row r="935" spans="1:2" ht="16.5" x14ac:dyDescent="0.3">
      <c r="A935" s="63"/>
      <c r="B935" s="63"/>
    </row>
    <row r="936" spans="1:2" ht="16.5" x14ac:dyDescent="0.3">
      <c r="A936" s="63"/>
      <c r="B936" s="63"/>
    </row>
    <row r="937" spans="1:2" ht="16.5" x14ac:dyDescent="0.3">
      <c r="A937" s="63"/>
      <c r="B937" s="63"/>
    </row>
    <row r="938" spans="1:2" ht="16.5" x14ac:dyDescent="0.3">
      <c r="A938" s="63"/>
      <c r="B938" s="63"/>
    </row>
    <row r="939" spans="1:2" ht="16.5" x14ac:dyDescent="0.3">
      <c r="A939" s="63"/>
      <c r="B939" s="63"/>
    </row>
    <row r="940" spans="1:2" ht="16.5" x14ac:dyDescent="0.3">
      <c r="A940" s="63"/>
      <c r="B940" s="63"/>
    </row>
    <row r="941" spans="1:2" ht="16.5" x14ac:dyDescent="0.3">
      <c r="A941" s="63"/>
      <c r="B941" s="63"/>
    </row>
    <row r="942" spans="1:2" ht="16.5" x14ac:dyDescent="0.3">
      <c r="A942" s="63"/>
      <c r="B942" s="63"/>
    </row>
    <row r="943" spans="1:2" ht="16.5" x14ac:dyDescent="0.3">
      <c r="A943" s="63"/>
      <c r="B943" s="63"/>
    </row>
    <row r="944" spans="1:2" ht="16.5" x14ac:dyDescent="0.3">
      <c r="A944" s="63"/>
      <c r="B944" s="63"/>
    </row>
    <row r="945" spans="1:2" ht="16.5" x14ac:dyDescent="0.3">
      <c r="A945" s="63"/>
      <c r="B945" s="63"/>
    </row>
    <row r="946" spans="1:2" ht="16.5" x14ac:dyDescent="0.3">
      <c r="A946" s="63"/>
      <c r="B946" s="63"/>
    </row>
    <row r="947" spans="1:2" ht="16.5" x14ac:dyDescent="0.3">
      <c r="A947" s="63"/>
      <c r="B947" s="63"/>
    </row>
    <row r="948" spans="1:2" ht="16.5" x14ac:dyDescent="0.3">
      <c r="A948" s="63"/>
      <c r="B948" s="63"/>
    </row>
    <row r="949" spans="1:2" ht="16.5" x14ac:dyDescent="0.3">
      <c r="A949" s="63"/>
      <c r="B949" s="63"/>
    </row>
    <row r="950" spans="1:2" ht="16.5" x14ac:dyDescent="0.3">
      <c r="A950" s="63"/>
      <c r="B950" s="63"/>
    </row>
    <row r="951" spans="1:2" ht="16.5" x14ac:dyDescent="0.3">
      <c r="A951" s="63"/>
      <c r="B951" s="63"/>
    </row>
    <row r="952" spans="1:2" ht="16.5" x14ac:dyDescent="0.3">
      <c r="A952" s="63"/>
      <c r="B952" s="63"/>
    </row>
    <row r="953" spans="1:2" ht="16.5" x14ac:dyDescent="0.3">
      <c r="A953" s="63"/>
      <c r="B953" s="63"/>
    </row>
    <row r="954" spans="1:2" ht="16.5" x14ac:dyDescent="0.3">
      <c r="A954" s="63"/>
      <c r="B954" s="63"/>
    </row>
    <row r="955" spans="1:2" ht="16.5" x14ac:dyDescent="0.3">
      <c r="A955" s="63"/>
      <c r="B955" s="63"/>
    </row>
    <row r="956" spans="1:2" ht="16.5" x14ac:dyDescent="0.3">
      <c r="A956" s="63"/>
      <c r="B956" s="63"/>
    </row>
    <row r="957" spans="1:2" ht="16.5" x14ac:dyDescent="0.3">
      <c r="A957" s="63"/>
      <c r="B957" s="63"/>
    </row>
    <row r="958" spans="1:2" ht="16.5" x14ac:dyDescent="0.3">
      <c r="A958" s="63"/>
      <c r="B958" s="63"/>
    </row>
    <row r="959" spans="1:2" ht="16.5" x14ac:dyDescent="0.3">
      <c r="A959" s="63"/>
      <c r="B959" s="63"/>
    </row>
    <row r="960" spans="1:2" ht="16.5" x14ac:dyDescent="0.3">
      <c r="A960" s="63"/>
      <c r="B960" s="63"/>
    </row>
    <row r="961" spans="1:2" ht="16.5" x14ac:dyDescent="0.3">
      <c r="A961" s="63"/>
      <c r="B961" s="63"/>
    </row>
    <row r="962" spans="1:2" ht="16.5" x14ac:dyDescent="0.3">
      <c r="A962" s="63"/>
      <c r="B962" s="63"/>
    </row>
    <row r="963" spans="1:2" ht="16.5" x14ac:dyDescent="0.3">
      <c r="A963" s="63"/>
      <c r="B963" s="63"/>
    </row>
    <row r="964" spans="1:2" ht="16.5" x14ac:dyDescent="0.3">
      <c r="A964" s="63"/>
      <c r="B964" s="63"/>
    </row>
    <row r="965" spans="1:2" ht="16.5" x14ac:dyDescent="0.3">
      <c r="A965" s="63"/>
      <c r="B965" s="63"/>
    </row>
    <row r="966" spans="1:2" ht="16.5" x14ac:dyDescent="0.3">
      <c r="A966" s="63"/>
      <c r="B966" s="63"/>
    </row>
    <row r="967" spans="1:2" ht="16.5" x14ac:dyDescent="0.3">
      <c r="A967" s="63"/>
      <c r="B967" s="63"/>
    </row>
    <row r="968" spans="1:2" ht="16.5" x14ac:dyDescent="0.3">
      <c r="A968" s="63"/>
      <c r="B968" s="63"/>
    </row>
    <row r="969" spans="1:2" ht="16.5" x14ac:dyDescent="0.3">
      <c r="A969" s="63"/>
      <c r="B969" s="63"/>
    </row>
    <row r="970" spans="1:2" ht="16.5" x14ac:dyDescent="0.3">
      <c r="A970" s="63"/>
      <c r="B970" s="63"/>
    </row>
    <row r="971" spans="1:2" ht="16.5" x14ac:dyDescent="0.3">
      <c r="A971" s="63"/>
      <c r="B971" s="63"/>
    </row>
    <row r="972" spans="1:2" ht="16.5" x14ac:dyDescent="0.3">
      <c r="A972" s="63"/>
      <c r="B972" s="63"/>
    </row>
    <row r="973" spans="1:2" ht="16.5" x14ac:dyDescent="0.3">
      <c r="A973" s="63"/>
      <c r="B973" s="63"/>
    </row>
    <row r="974" spans="1:2" ht="16.5" x14ac:dyDescent="0.3">
      <c r="A974" s="63"/>
      <c r="B974" s="63"/>
    </row>
    <row r="975" spans="1:2" ht="16.5" x14ac:dyDescent="0.3">
      <c r="A975" s="63"/>
      <c r="B975" s="63"/>
    </row>
    <row r="976" spans="1:2" ht="16.5" x14ac:dyDescent="0.3">
      <c r="A976" s="63"/>
      <c r="B976" s="63"/>
    </row>
    <row r="977" spans="1:2" ht="16.5" x14ac:dyDescent="0.3">
      <c r="A977" s="63"/>
      <c r="B977" s="63"/>
    </row>
    <row r="978" spans="1:2" ht="16.5" x14ac:dyDescent="0.3">
      <c r="A978" s="63"/>
      <c r="B978" s="63"/>
    </row>
    <row r="979" spans="1:2" ht="16.5" x14ac:dyDescent="0.3">
      <c r="A979" s="63"/>
      <c r="B979" s="63"/>
    </row>
    <row r="980" spans="1:2" ht="16.5" x14ac:dyDescent="0.3">
      <c r="A980" s="63"/>
      <c r="B980" s="63"/>
    </row>
    <row r="981" spans="1:2" ht="16.5" x14ac:dyDescent="0.3">
      <c r="A981" s="63"/>
      <c r="B981" s="63"/>
    </row>
    <row r="982" spans="1:2" ht="16.5" x14ac:dyDescent="0.3">
      <c r="A982" s="63"/>
      <c r="B982" s="63"/>
    </row>
    <row r="983" spans="1:2" ht="16.5" x14ac:dyDescent="0.3">
      <c r="A983" s="63"/>
      <c r="B983" s="63"/>
    </row>
    <row r="984" spans="1:2" ht="16.5" x14ac:dyDescent="0.3">
      <c r="A984" s="63"/>
      <c r="B984" s="63"/>
    </row>
    <row r="985" spans="1:2" ht="16.5" x14ac:dyDescent="0.3">
      <c r="A985" s="63"/>
      <c r="B985" s="63"/>
    </row>
    <row r="986" spans="1:2" ht="16.5" x14ac:dyDescent="0.3">
      <c r="A986" s="63"/>
      <c r="B986" s="63"/>
    </row>
    <row r="987" spans="1:2" ht="16.5" x14ac:dyDescent="0.3">
      <c r="A987" s="63"/>
      <c r="B987" s="63"/>
    </row>
    <row r="988" spans="1:2" ht="16.5" x14ac:dyDescent="0.3">
      <c r="A988" s="63"/>
      <c r="B988" s="63"/>
    </row>
    <row r="989" spans="1:2" ht="16.5" x14ac:dyDescent="0.3">
      <c r="A989" s="63"/>
      <c r="B989" s="63"/>
    </row>
    <row r="990" spans="1:2" ht="16.5" x14ac:dyDescent="0.3">
      <c r="A990" s="63"/>
      <c r="B990" s="63"/>
    </row>
    <row r="991" spans="1:2" ht="16.5" x14ac:dyDescent="0.3">
      <c r="A991" s="63"/>
      <c r="B991" s="63"/>
    </row>
    <row r="992" spans="1:2" ht="16.5" x14ac:dyDescent="0.3">
      <c r="A992" s="63"/>
      <c r="B992" s="63"/>
    </row>
    <row r="993" spans="1:2" ht="16.5" x14ac:dyDescent="0.3">
      <c r="A993" s="63"/>
      <c r="B993" s="63"/>
    </row>
    <row r="994" spans="1:2" ht="16.5" x14ac:dyDescent="0.3">
      <c r="A994" s="63"/>
      <c r="B994" s="63"/>
    </row>
    <row r="995" spans="1:2" ht="16.5" x14ac:dyDescent="0.3">
      <c r="A995" s="63"/>
      <c r="B995" s="63"/>
    </row>
    <row r="996" spans="1:2" ht="16.5" x14ac:dyDescent="0.3">
      <c r="A996" s="63"/>
      <c r="B996" s="63"/>
    </row>
    <row r="997" spans="1:2" ht="16.5" x14ac:dyDescent="0.3">
      <c r="A997" s="63"/>
      <c r="B997" s="63"/>
    </row>
    <row r="998" spans="1:2" ht="16.5" x14ac:dyDescent="0.3">
      <c r="A998" s="63"/>
      <c r="B998" s="63"/>
    </row>
    <row r="999" spans="1:2" ht="16.5" x14ac:dyDescent="0.3">
      <c r="A999" s="63"/>
      <c r="B999" s="63"/>
    </row>
    <row r="1000" spans="1:2" ht="16.5" x14ac:dyDescent="0.3">
      <c r="A1000" s="63"/>
      <c r="B1000" s="63"/>
    </row>
    <row r="1001" spans="1:2" ht="16.5" x14ac:dyDescent="0.3">
      <c r="A1001" s="63"/>
      <c r="B1001" s="63"/>
    </row>
    <row r="1002" spans="1:2" ht="16.5" x14ac:dyDescent="0.3">
      <c r="A1002" s="63"/>
      <c r="B1002" s="63"/>
    </row>
    <row r="1003" spans="1:2" ht="16.5" x14ac:dyDescent="0.3">
      <c r="A1003" s="63"/>
      <c r="B1003" s="63"/>
    </row>
    <row r="1004" spans="1:2" ht="16.5" x14ac:dyDescent="0.3">
      <c r="A1004" s="63"/>
      <c r="B1004" s="63"/>
    </row>
  </sheetData>
  <hyperlinks>
    <hyperlink ref="B62" r:id="rId1"/>
    <hyperlink ref="B63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12"/>
  <sheetViews>
    <sheetView topLeftCell="B2" workbookViewId="0">
      <selection activeCell="C19" sqref="C19"/>
    </sheetView>
  </sheetViews>
  <sheetFormatPr defaultColWidth="14.42578125" defaultRowHeight="15" customHeight="1" x14ac:dyDescent="0.25"/>
  <cols>
    <col min="1" max="1" width="41.42578125" style="44" customWidth="1"/>
    <col min="2" max="2" width="62" style="44" customWidth="1"/>
    <col min="3" max="3" width="78" style="44" customWidth="1"/>
    <col min="4" max="26" width="8.7109375" style="44" customWidth="1"/>
    <col min="27" max="16384" width="14.42578125" style="44"/>
  </cols>
  <sheetData>
    <row r="1" spans="1:26" ht="13.5" customHeight="1" x14ac:dyDescent="0.3">
      <c r="A1" s="62" t="s">
        <v>96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ht="13.5" customHeight="1" thickBot="1" x14ac:dyDescent="0.3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ht="13.5" customHeight="1" thickBot="1" x14ac:dyDescent="0.35">
      <c r="A3" s="61" t="s">
        <v>95</v>
      </c>
      <c r="B3" s="60" t="s">
        <v>94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ht="13.5" customHeight="1" thickBot="1" x14ac:dyDescent="0.35">
      <c r="A4" s="58" t="s">
        <v>19</v>
      </c>
      <c r="B4" s="60" t="s">
        <v>20</v>
      </c>
      <c r="C4" s="45" t="str">
        <f t="shared" ref="C4:C35" si="0">CONCATENATE(A4, " -&gt; ",B4)</f>
        <v>Administrative/Overhead services -&gt; Office of the Medical Center Chief</v>
      </c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ht="13.5" customHeight="1" thickBot="1" x14ac:dyDescent="0.35">
      <c r="A5" s="58" t="s">
        <v>19</v>
      </c>
      <c r="B5" s="57" t="s">
        <v>61</v>
      </c>
      <c r="C5" s="45" t="str">
        <f t="shared" si="0"/>
        <v>Administrative/Overhead services -&gt; IT Department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ht="13.5" customHeight="1" thickBot="1" x14ac:dyDescent="0.35">
      <c r="A6" s="58" t="s">
        <v>19</v>
      </c>
      <c r="B6" s="59" t="s">
        <v>21</v>
      </c>
      <c r="C6" s="45" t="str">
        <f t="shared" si="0"/>
        <v>Administrative/Overhead services -&gt; Office of the Administrative Officer</v>
      </c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13.5" customHeight="1" thickBot="1" x14ac:dyDescent="0.35">
      <c r="A7" s="58" t="s">
        <v>19</v>
      </c>
      <c r="B7" s="59" t="s">
        <v>22</v>
      </c>
      <c r="C7" s="45" t="str">
        <f t="shared" si="0"/>
        <v>Administrative/Overhead services -&gt; Human Resource Management</v>
      </c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ht="13.5" customHeight="1" thickBot="1" x14ac:dyDescent="0.35">
      <c r="A8" s="58" t="s">
        <v>19</v>
      </c>
      <c r="B8" s="59" t="s">
        <v>23</v>
      </c>
      <c r="C8" s="45" t="str">
        <f t="shared" si="0"/>
        <v>Administrative/Overhead services -&gt; Procurement</v>
      </c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ht="13.5" customHeight="1" thickBot="1" x14ac:dyDescent="0.35">
      <c r="A9" s="58" t="s">
        <v>19</v>
      </c>
      <c r="B9" s="59" t="s">
        <v>24</v>
      </c>
      <c r="C9" s="45" t="str">
        <f t="shared" si="0"/>
        <v>Administrative/Overhead services -&gt; Materials Management</v>
      </c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ht="13.5" customHeight="1" thickBot="1" x14ac:dyDescent="0.35">
      <c r="A10" s="58" t="s">
        <v>19</v>
      </c>
      <c r="B10" s="59" t="s">
        <v>25</v>
      </c>
      <c r="C10" s="45" t="str">
        <f t="shared" si="0"/>
        <v>Administrative/Overhead services -&gt; Engineering and Facilities Management</v>
      </c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ht="13.5" customHeight="1" thickBot="1" x14ac:dyDescent="0.35">
      <c r="A11" s="58" t="s">
        <v>19</v>
      </c>
      <c r="B11" s="57" t="s">
        <v>62</v>
      </c>
      <c r="C11" s="45" t="str">
        <f t="shared" si="0"/>
        <v xml:space="preserve">Administrative/Overhead services -&gt; Housekeeping </v>
      </c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ht="13.5" customHeight="1" thickBot="1" x14ac:dyDescent="0.35">
      <c r="A12" s="58" t="s">
        <v>19</v>
      </c>
      <c r="B12" s="59" t="s">
        <v>26</v>
      </c>
      <c r="C12" s="45" t="str">
        <f t="shared" si="0"/>
        <v>Administrative/Overhead services -&gt; Budget and Accounting</v>
      </c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ht="13.5" customHeight="1" thickBot="1" x14ac:dyDescent="0.35">
      <c r="A13" s="58" t="s">
        <v>19</v>
      </c>
      <c r="B13" s="59" t="s">
        <v>27</v>
      </c>
      <c r="C13" s="45" t="str">
        <f t="shared" si="0"/>
        <v>Administrative/Overhead services -&gt; Medical Social Work</v>
      </c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ht="13.5" customHeight="1" thickBot="1" x14ac:dyDescent="0.35">
      <c r="A14" s="58" t="s">
        <v>19</v>
      </c>
      <c r="B14" s="59" t="s">
        <v>28</v>
      </c>
      <c r="C14" s="45" t="str">
        <f t="shared" si="0"/>
        <v>Administrative/Overhead services -&gt; Office of the Chief Nurse</v>
      </c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ht="13.5" customHeight="1" thickBot="1" x14ac:dyDescent="0.35">
      <c r="A15" s="58" t="s">
        <v>19</v>
      </c>
      <c r="B15" s="59" t="s">
        <v>29</v>
      </c>
      <c r="C15" s="45" t="str">
        <f t="shared" si="0"/>
        <v>Administrative/Overhead services -&gt; Health Info Mgt (Admitting)</v>
      </c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ht="13.5" customHeight="1" thickBot="1" x14ac:dyDescent="0.35">
      <c r="A16" s="58" t="s">
        <v>19</v>
      </c>
      <c r="B16" s="59" t="s">
        <v>30</v>
      </c>
      <c r="C16" s="45" t="str">
        <f t="shared" si="0"/>
        <v>Administrative/Overhead services -&gt; Central Supply Office</v>
      </c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ht="13.5" customHeight="1" thickBot="1" x14ac:dyDescent="0.35">
      <c r="A17" s="58" t="s">
        <v>19</v>
      </c>
      <c r="B17" s="59" t="s">
        <v>31</v>
      </c>
      <c r="C17" s="45" t="str">
        <f t="shared" si="0"/>
        <v>Administrative/Overhead services -&gt; Billing and Claims</v>
      </c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ht="13.5" customHeight="1" thickBot="1" x14ac:dyDescent="0.35">
      <c r="A18" s="58" t="s">
        <v>19</v>
      </c>
      <c r="B18" s="59" t="s">
        <v>32</v>
      </c>
      <c r="C18" s="45" t="str">
        <f t="shared" si="0"/>
        <v>Administrative/Overhead services -&gt; Cash Operations</v>
      </c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ht="13.5" customHeight="1" thickBot="1" x14ac:dyDescent="0.35">
      <c r="A19" s="58" t="s">
        <v>19</v>
      </c>
      <c r="B19" s="59" t="s">
        <v>33</v>
      </c>
      <c r="C19" s="45" t="str">
        <f t="shared" si="0"/>
        <v>Administrative/Overhead services -&gt; Security</v>
      </c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ht="13.5" customHeight="1" thickBot="1" x14ac:dyDescent="0.35">
      <c r="A20" s="58" t="s">
        <v>19</v>
      </c>
      <c r="B20" s="57" t="s">
        <v>63</v>
      </c>
      <c r="C20" s="45" t="str">
        <f t="shared" si="0"/>
        <v>Administrative/Overhead services -&gt; Office of the Chief of Medical Professional Staff / Chief of Clinics</v>
      </c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ht="13.5" customHeight="1" thickBot="1" x14ac:dyDescent="0.35">
      <c r="A21" s="58" t="s">
        <v>19</v>
      </c>
      <c r="B21" s="57" t="s">
        <v>64</v>
      </c>
      <c r="C21" s="45" t="str">
        <f t="shared" si="0"/>
        <v>Administrative/Overhead services -&gt; Others</v>
      </c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ht="13.5" customHeight="1" thickBot="1" x14ac:dyDescent="0.35">
      <c r="A22" s="50" t="s">
        <v>35</v>
      </c>
      <c r="B22" s="56" t="s">
        <v>36</v>
      </c>
      <c r="C22" s="45" t="str">
        <f t="shared" si="0"/>
        <v>Ancillary services/Support services -&gt; Laundry</v>
      </c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ht="14.25" customHeight="1" thickBot="1" x14ac:dyDescent="0.35">
      <c r="A23" s="50" t="s">
        <v>35</v>
      </c>
      <c r="B23" s="52" t="s">
        <v>39</v>
      </c>
      <c r="C23" s="45" t="str">
        <f t="shared" si="0"/>
        <v>Ancillary services/Support services -&gt; Nutrition and Dietetics</v>
      </c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ht="14.25" customHeight="1" thickBot="1" x14ac:dyDescent="0.35">
      <c r="A24" s="50" t="s">
        <v>35</v>
      </c>
      <c r="B24" s="52" t="s">
        <v>65</v>
      </c>
      <c r="C24" s="45" t="str">
        <f t="shared" si="0"/>
        <v>Ancillary services/Support services -&gt; Sterilization</v>
      </c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ht="14.25" customHeight="1" thickBot="1" x14ac:dyDescent="0.35">
      <c r="A25" s="50" t="s">
        <v>35</v>
      </c>
      <c r="B25" s="52" t="s">
        <v>38</v>
      </c>
      <c r="C25" s="45" t="str">
        <f t="shared" si="0"/>
        <v>Ancillary services/Support services -&gt; Pharmacy</v>
      </c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ht="14.25" customHeight="1" thickBot="1" x14ac:dyDescent="0.35">
      <c r="A26" s="50" t="s">
        <v>35</v>
      </c>
      <c r="B26" s="52" t="s">
        <v>37</v>
      </c>
      <c r="C26" s="45" t="str">
        <f t="shared" si="0"/>
        <v>Ancillary services/Support services -&gt; Blood Bank</v>
      </c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ht="14.25" customHeight="1" thickBot="1" x14ac:dyDescent="0.35">
      <c r="A27" s="50" t="s">
        <v>35</v>
      </c>
      <c r="B27" s="52" t="s">
        <v>66</v>
      </c>
      <c r="C27" s="45" t="str">
        <f t="shared" si="0"/>
        <v>Ancillary services/Support services -&gt; Laboratory</v>
      </c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ht="14.25" customHeight="1" thickBot="1" x14ac:dyDescent="0.35">
      <c r="A28" s="50" t="s">
        <v>35</v>
      </c>
      <c r="B28" s="52" t="s">
        <v>67</v>
      </c>
      <c r="C28" s="45" t="str">
        <f t="shared" si="0"/>
        <v>Ancillary services/Support services -&gt; Radiology / Diagnostic Imaging (CT Scan, MRI, ECG, Mammography, Endoscopy)</v>
      </c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ht="14.25" customHeight="1" thickBot="1" x14ac:dyDescent="0.35">
      <c r="A29" s="50" t="s">
        <v>35</v>
      </c>
      <c r="B29" s="52" t="s">
        <v>68</v>
      </c>
      <c r="C29" s="45" t="str">
        <f t="shared" si="0"/>
        <v>Ancillary services/Support services -&gt; Heart Station</v>
      </c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ht="14.25" customHeight="1" thickBot="1" x14ac:dyDescent="0.35">
      <c r="A30" s="50" t="s">
        <v>35</v>
      </c>
      <c r="B30" s="52" t="s">
        <v>69</v>
      </c>
      <c r="C30" s="45" t="str">
        <f t="shared" si="0"/>
        <v>Ancillary services/Support services -&gt; Physiotherapy / Rehabilitation</v>
      </c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ht="14.25" customHeight="1" thickBot="1" x14ac:dyDescent="0.35">
      <c r="A31" s="50" t="s">
        <v>35</v>
      </c>
      <c r="B31" s="52" t="s">
        <v>5</v>
      </c>
      <c r="C31" s="45" t="str">
        <f t="shared" si="0"/>
        <v>Ancillary services/Support services -&gt; Delivery Room</v>
      </c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ht="14.25" customHeight="1" thickBot="1" x14ac:dyDescent="0.35">
      <c r="A32" s="50" t="s">
        <v>35</v>
      </c>
      <c r="B32" s="51" t="s">
        <v>40</v>
      </c>
      <c r="C32" s="45" t="str">
        <f t="shared" si="0"/>
        <v>Ancillary services/Support services -&gt; Operating Room / Aneasthesiology / PACU / Recovery Room</v>
      </c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ht="14.25" customHeight="1" thickBot="1" x14ac:dyDescent="0.35">
      <c r="A33" s="50" t="s">
        <v>35</v>
      </c>
      <c r="B33" s="52" t="s">
        <v>70</v>
      </c>
      <c r="C33" s="45" t="str">
        <f t="shared" si="0"/>
        <v>Ancillary services/Support services -&gt; Respiratory Unit</v>
      </c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ht="14.25" customHeight="1" thickBot="1" x14ac:dyDescent="0.35">
      <c r="A34" s="50" t="s">
        <v>35</v>
      </c>
      <c r="B34" s="51" t="s">
        <v>41</v>
      </c>
      <c r="C34" s="45" t="str">
        <f t="shared" si="0"/>
        <v>Ancillary services/Support services -&gt; Medical ICU</v>
      </c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ht="14.25" customHeight="1" thickBot="1" x14ac:dyDescent="0.35">
      <c r="A35" s="50" t="s">
        <v>35</v>
      </c>
      <c r="B35" s="51" t="s">
        <v>42</v>
      </c>
      <c r="C35" s="45" t="str">
        <f t="shared" si="0"/>
        <v>Ancillary services/Support services -&gt; Neonatal ICU*</v>
      </c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ht="14.25" customHeight="1" thickBot="1" x14ac:dyDescent="0.35">
      <c r="A36" s="50" t="s">
        <v>35</v>
      </c>
      <c r="B36" s="51" t="s">
        <v>43</v>
      </c>
      <c r="C36" s="45" t="str">
        <f t="shared" ref="C36:C64" si="1">CONCATENATE(A36, " -&gt; ",B36)</f>
        <v>Ancillary services/Support services -&gt; Surgical ICU*</v>
      </c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ht="14.25" customHeight="1" thickBot="1" x14ac:dyDescent="0.35">
      <c r="A37" s="50" t="s">
        <v>35</v>
      </c>
      <c r="B37" s="51" t="s">
        <v>44</v>
      </c>
      <c r="C37" s="45" t="str">
        <f t="shared" si="1"/>
        <v>Ancillary services/Support services -&gt; Pediatric ICU*</v>
      </c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ht="14.25" customHeight="1" thickBot="1" x14ac:dyDescent="0.35">
      <c r="A38" s="50" t="s">
        <v>35</v>
      </c>
      <c r="B38" s="51" t="s">
        <v>71</v>
      </c>
      <c r="C38" s="45" t="str">
        <f t="shared" si="1"/>
        <v>Ancillary services/Support services -&gt; Burn Unit</v>
      </c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ht="17.25" thickBot="1" x14ac:dyDescent="0.35">
      <c r="A39" s="50" t="s">
        <v>35</v>
      </c>
      <c r="B39" s="52" t="s">
        <v>72</v>
      </c>
      <c r="C39" s="45" t="str">
        <f t="shared" si="1"/>
        <v>Ancillary services/Support services -&gt; Morgue</v>
      </c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ht="17.25" thickBot="1" x14ac:dyDescent="0.35">
      <c r="A40" s="50" t="s">
        <v>35</v>
      </c>
      <c r="B40" s="55" t="s">
        <v>64</v>
      </c>
      <c r="C40" s="45" t="str">
        <f t="shared" si="1"/>
        <v>Ancillary services/Support services -&gt; Others</v>
      </c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ht="13.5" customHeight="1" thickBot="1" x14ac:dyDescent="0.35">
      <c r="A41" s="50" t="s">
        <v>46</v>
      </c>
      <c r="B41" s="54" t="s">
        <v>47</v>
      </c>
      <c r="C41" s="45" t="str">
        <f t="shared" si="1"/>
        <v>Clinical/Medical services -&gt; Outpatient Department</v>
      </c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ht="13.5" customHeight="1" thickBot="1" x14ac:dyDescent="0.35">
      <c r="A42" s="50" t="s">
        <v>46</v>
      </c>
      <c r="B42" s="52" t="s">
        <v>73</v>
      </c>
      <c r="C42" s="45" t="str">
        <f t="shared" si="1"/>
        <v>Clinical/Medical services -&gt; Animal Bite Center</v>
      </c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ht="13.5" customHeight="1" thickBot="1" x14ac:dyDescent="0.35">
      <c r="A43" s="50" t="s">
        <v>46</v>
      </c>
      <c r="B43" s="52" t="s">
        <v>74</v>
      </c>
      <c r="C43" s="45" t="str">
        <f t="shared" si="1"/>
        <v>Clinical/Medical services -&gt; TB Dots</v>
      </c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ht="13.5" customHeight="1" thickBot="1" x14ac:dyDescent="0.35">
      <c r="A44" s="50" t="s">
        <v>46</v>
      </c>
      <c r="B44" s="52" t="s">
        <v>75</v>
      </c>
      <c r="C44" s="45" t="str">
        <f t="shared" si="1"/>
        <v>Clinical/Medical services -&gt; HIV Aids</v>
      </c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ht="13.5" customHeight="1" thickBot="1" x14ac:dyDescent="0.35">
      <c r="A45" s="50" t="s">
        <v>46</v>
      </c>
      <c r="B45" s="52" t="s">
        <v>76</v>
      </c>
      <c r="C45" s="45" t="str">
        <f t="shared" si="1"/>
        <v>Clinical/Medical services -&gt; Family Planning Unit</v>
      </c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ht="13.5" customHeight="1" thickBot="1" x14ac:dyDescent="0.35">
      <c r="A46" s="50" t="s">
        <v>46</v>
      </c>
      <c r="B46" s="52" t="s">
        <v>77</v>
      </c>
      <c r="C46" s="45" t="str">
        <f t="shared" si="1"/>
        <v>Clinical/Medical services -&gt; Smoking Cessation</v>
      </c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ht="13.5" customHeight="1" thickBot="1" x14ac:dyDescent="0.35">
      <c r="A47" s="50" t="s">
        <v>46</v>
      </c>
      <c r="B47" s="52" t="s">
        <v>78</v>
      </c>
      <c r="C47" s="45" t="str">
        <f t="shared" si="1"/>
        <v>Clinical/Medical services -&gt; Malaria</v>
      </c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ht="13.5" customHeight="1" thickBot="1" x14ac:dyDescent="0.35">
      <c r="A48" s="50" t="s">
        <v>46</v>
      </c>
      <c r="B48" s="53" t="s">
        <v>79</v>
      </c>
      <c r="C48" s="45" t="str">
        <f t="shared" si="1"/>
        <v>Clinical/Medical services -&gt; Diabetes MAP</v>
      </c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ht="13.5" customHeight="1" thickBot="1" x14ac:dyDescent="0.35">
      <c r="A49" s="50" t="s">
        <v>46</v>
      </c>
      <c r="B49" s="52" t="s">
        <v>80</v>
      </c>
      <c r="C49" s="45" t="str">
        <f t="shared" si="1"/>
        <v>Clinical/Medical services -&gt; Hypertension MAP</v>
      </c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ht="14.25" customHeight="1" thickBot="1" x14ac:dyDescent="0.35">
      <c r="A50" s="50" t="s">
        <v>46</v>
      </c>
      <c r="B50" s="51" t="s">
        <v>48</v>
      </c>
      <c r="C50" s="45" t="str">
        <f t="shared" si="1"/>
        <v>Clinical/Medical services -&gt; Emergency Medicine Department</v>
      </c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ht="14.25" customHeight="1" thickBot="1" x14ac:dyDescent="0.35">
      <c r="A51" s="50" t="s">
        <v>46</v>
      </c>
      <c r="B51" s="51" t="s">
        <v>6</v>
      </c>
      <c r="C51" s="45" t="str">
        <f t="shared" si="1"/>
        <v>Clinical/Medical services -&gt; Dialysis Unit</v>
      </c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ht="14.25" customHeight="1" thickBot="1" x14ac:dyDescent="0.35">
      <c r="A52" s="50" t="s">
        <v>46</v>
      </c>
      <c r="B52" s="52" t="s">
        <v>81</v>
      </c>
      <c r="C52" s="45" t="str">
        <f t="shared" si="1"/>
        <v>Clinical/Medical services -&gt; Nuclear Medicine</v>
      </c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ht="14.25" customHeight="1" thickBot="1" x14ac:dyDescent="0.35">
      <c r="A53" s="50" t="s">
        <v>46</v>
      </c>
      <c r="B53" s="51" t="s">
        <v>45</v>
      </c>
      <c r="C53" s="45" t="str">
        <f t="shared" si="1"/>
        <v>Clinical/Medical services -&gt; Radiation Oncology Unit*</v>
      </c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ht="14.25" customHeight="1" thickBot="1" x14ac:dyDescent="0.35">
      <c r="A54" s="50" t="s">
        <v>46</v>
      </c>
      <c r="B54" s="52" t="s">
        <v>82</v>
      </c>
      <c r="C54" s="45" t="str">
        <f t="shared" si="1"/>
        <v>Clinical/Medical services -&gt; Endoscopy Unit</v>
      </c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ht="14.25" customHeight="1" thickBot="1" x14ac:dyDescent="0.35">
      <c r="A55" s="50" t="s">
        <v>46</v>
      </c>
      <c r="B55" s="51" t="s">
        <v>49</v>
      </c>
      <c r="C55" s="45" t="str">
        <f t="shared" si="1"/>
        <v>Clinical/Medical services -&gt; Dental</v>
      </c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ht="14.25" customHeight="1" thickBot="1" x14ac:dyDescent="0.35">
      <c r="A56" s="50" t="s">
        <v>46</v>
      </c>
      <c r="B56" s="51" t="s">
        <v>50</v>
      </c>
      <c r="C56" s="45" t="str">
        <f t="shared" si="1"/>
        <v>Clinical/Medical services -&gt; Internal Medicine Ward</v>
      </c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ht="14.25" customHeight="1" thickBot="1" x14ac:dyDescent="0.35">
      <c r="A57" s="50" t="s">
        <v>46</v>
      </c>
      <c r="B57" s="51" t="s">
        <v>51</v>
      </c>
      <c r="C57" s="45" t="str">
        <f t="shared" si="1"/>
        <v>Clinical/Medical services -&gt; Pediatric Ward</v>
      </c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ht="14.25" customHeight="1" thickBot="1" x14ac:dyDescent="0.35">
      <c r="A58" s="50" t="s">
        <v>46</v>
      </c>
      <c r="B58" s="51" t="s">
        <v>52</v>
      </c>
      <c r="C58" s="45" t="str">
        <f t="shared" si="1"/>
        <v>Clinical/Medical services -&gt; Surgical Ward</v>
      </c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ht="14.25" customHeight="1" thickBot="1" x14ac:dyDescent="0.35">
      <c r="A59" s="50" t="s">
        <v>46</v>
      </c>
      <c r="B59" s="51" t="s">
        <v>53</v>
      </c>
      <c r="C59" s="45" t="str">
        <f t="shared" si="1"/>
        <v>Clinical/Medical services -&gt; Ob/Gyne Ward</v>
      </c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ht="14.25" customHeight="1" thickBot="1" x14ac:dyDescent="0.35">
      <c r="A60" s="50" t="s">
        <v>46</v>
      </c>
      <c r="B60" s="51" t="s">
        <v>54</v>
      </c>
      <c r="C60" s="45" t="str">
        <f t="shared" si="1"/>
        <v>Clinical/Medical services -&gt; Private Ward</v>
      </c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ht="14.25" customHeight="1" thickBot="1" x14ac:dyDescent="0.35">
      <c r="A61" s="50" t="s">
        <v>46</v>
      </c>
      <c r="B61" s="51" t="s">
        <v>55</v>
      </c>
      <c r="C61" s="45" t="str">
        <f t="shared" si="1"/>
        <v>Clinical/Medical services -&gt; Neurosurgery Ward*</v>
      </c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ht="14.25" customHeight="1" thickBot="1" x14ac:dyDescent="0.35">
      <c r="A62" s="50" t="s">
        <v>46</v>
      </c>
      <c r="B62" s="51" t="s">
        <v>56</v>
      </c>
      <c r="C62" s="45" t="str">
        <f t="shared" si="1"/>
        <v>Clinical/Medical services -&gt; Orthopedic Ward*</v>
      </c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ht="17.25" thickBot="1" x14ac:dyDescent="0.35">
      <c r="A63" s="50" t="s">
        <v>46</v>
      </c>
      <c r="B63" s="51" t="s">
        <v>57</v>
      </c>
      <c r="C63" s="45" t="str">
        <f t="shared" si="1"/>
        <v>Clinical/Medical services -&gt; Psychiatric Ward*</v>
      </c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ht="13.5" customHeight="1" thickBot="1" x14ac:dyDescent="0.35">
      <c r="A64" s="50" t="s">
        <v>46</v>
      </c>
      <c r="B64" s="49" t="s">
        <v>58</v>
      </c>
      <c r="C64" s="45" t="str">
        <f t="shared" si="1"/>
        <v>Clinical/Medical services -&gt; ENT Ward*</v>
      </c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ht="13.5" customHeight="1" x14ac:dyDescent="0.3">
      <c r="A65" s="48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ht="13.5" customHeight="1" x14ac:dyDescent="0.3">
      <c r="A66" s="45"/>
      <c r="B66" s="47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ht="13.5" customHeight="1" x14ac:dyDescent="0.3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ht="13.5" customHeight="1" x14ac:dyDescent="0.3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ht="13.5" customHeight="1" x14ac:dyDescent="0.3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ht="13.5" customHeight="1" x14ac:dyDescent="0.3">
      <c r="A70" s="45" t="s">
        <v>93</v>
      </c>
      <c r="B70" s="46" t="s">
        <v>92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ht="13.5" customHeight="1" x14ac:dyDescent="0.3">
      <c r="A71" s="45"/>
      <c r="B71" s="46" t="s">
        <v>91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ht="13.5" customHeight="1" x14ac:dyDescent="0.3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ht="13.5" customHeight="1" x14ac:dyDescent="0.3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ht="13.5" customHeight="1" x14ac:dyDescent="0.3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ht="13.5" customHeight="1" x14ac:dyDescent="0.3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ht="13.5" customHeight="1" x14ac:dyDescent="0.3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ht="13.5" customHeight="1" x14ac:dyDescent="0.3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ht="13.5" customHeight="1" x14ac:dyDescent="0.3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ht="13.5" customHeight="1" x14ac:dyDescent="0.3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ht="13.5" customHeight="1" x14ac:dyDescent="0.3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ht="13.5" customHeight="1" x14ac:dyDescent="0.3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ht="13.5" customHeight="1" x14ac:dyDescent="0.3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ht="13.5" customHeight="1" x14ac:dyDescent="0.3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ht="13.5" customHeight="1" x14ac:dyDescent="0.3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ht="13.5" customHeight="1" x14ac:dyDescent="0.3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ht="13.5" customHeight="1" x14ac:dyDescent="0.3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ht="13.5" customHeight="1" x14ac:dyDescent="0.3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ht="13.5" customHeight="1" x14ac:dyDescent="0.3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ht="13.5" customHeight="1" x14ac:dyDescent="0.3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ht="13.5" customHeight="1" x14ac:dyDescent="0.3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ht="13.5" customHeight="1" x14ac:dyDescent="0.3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ht="13.5" customHeight="1" x14ac:dyDescent="0.3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ht="13.5" customHeight="1" x14ac:dyDescent="0.3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ht="13.5" customHeight="1" x14ac:dyDescent="0.3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ht="13.5" customHeight="1" x14ac:dyDescent="0.3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ht="13.5" customHeight="1" x14ac:dyDescent="0.3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ht="13.5" customHeight="1" x14ac:dyDescent="0.3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ht="13.5" customHeight="1" x14ac:dyDescent="0.3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ht="13.5" customHeight="1" x14ac:dyDescent="0.3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ht="13.5" customHeight="1" x14ac:dyDescent="0.3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ht="13.5" customHeight="1" x14ac:dyDescent="0.3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ht="13.5" customHeight="1" x14ac:dyDescent="0.3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ht="13.5" customHeight="1" x14ac:dyDescent="0.3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ht="13.5" customHeight="1" x14ac:dyDescent="0.3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ht="13.5" customHeight="1" x14ac:dyDescent="0.3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ht="13.5" customHeight="1" x14ac:dyDescent="0.3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ht="13.5" customHeight="1" x14ac:dyDescent="0.3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ht="13.5" customHeight="1" x14ac:dyDescent="0.3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ht="13.5" customHeight="1" x14ac:dyDescent="0.3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ht="13.5" customHeight="1" x14ac:dyDescent="0.3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ht="13.5" customHeight="1" x14ac:dyDescent="0.3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ht="13.5" customHeight="1" x14ac:dyDescent="0.3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ht="13.5" customHeight="1" x14ac:dyDescent="0.3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ht="13.5" customHeight="1" x14ac:dyDescent="0.3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ht="13.5" customHeight="1" x14ac:dyDescent="0.3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ht="13.5" customHeight="1" x14ac:dyDescent="0.3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ht="13.5" customHeight="1" x14ac:dyDescent="0.3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ht="13.5" customHeight="1" x14ac:dyDescent="0.3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ht="13.5" customHeight="1" x14ac:dyDescent="0.3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ht="13.5" customHeight="1" x14ac:dyDescent="0.3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ht="13.5" customHeight="1" x14ac:dyDescent="0.3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ht="13.5" customHeight="1" x14ac:dyDescent="0.3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ht="13.5" customHeight="1" x14ac:dyDescent="0.3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ht="13.5" customHeight="1" x14ac:dyDescent="0.3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ht="13.5" customHeight="1" x14ac:dyDescent="0.3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ht="13.5" customHeight="1" x14ac:dyDescent="0.3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ht="13.5" customHeight="1" x14ac:dyDescent="0.3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ht="13.5" customHeight="1" x14ac:dyDescent="0.3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ht="13.5" customHeight="1" x14ac:dyDescent="0.3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ht="13.5" customHeight="1" x14ac:dyDescent="0.3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ht="13.5" customHeight="1" x14ac:dyDescent="0.3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ht="13.5" customHeight="1" x14ac:dyDescent="0.3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ht="13.5" customHeight="1" x14ac:dyDescent="0.3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ht="13.5" customHeight="1" x14ac:dyDescent="0.3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ht="13.5" customHeight="1" x14ac:dyDescent="0.3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ht="13.5" customHeight="1" x14ac:dyDescent="0.3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ht="13.5" customHeight="1" x14ac:dyDescent="0.3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ht="13.5" customHeight="1" x14ac:dyDescent="0.3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ht="13.5" customHeight="1" x14ac:dyDescent="0.3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ht="13.5" customHeight="1" x14ac:dyDescent="0.3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ht="13.5" customHeight="1" x14ac:dyDescent="0.3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ht="13.5" customHeight="1" x14ac:dyDescent="0.3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ht="13.5" customHeight="1" x14ac:dyDescent="0.3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ht="13.5" customHeight="1" x14ac:dyDescent="0.3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ht="13.5" customHeight="1" x14ac:dyDescent="0.3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ht="13.5" customHeight="1" x14ac:dyDescent="0.3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ht="13.5" customHeight="1" x14ac:dyDescent="0.3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ht="13.5" customHeight="1" x14ac:dyDescent="0.3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ht="13.5" customHeight="1" x14ac:dyDescent="0.3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ht="13.5" customHeight="1" x14ac:dyDescent="0.3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ht="13.5" customHeight="1" x14ac:dyDescent="0.3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ht="13.5" customHeight="1" x14ac:dyDescent="0.3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ht="13.5" customHeight="1" x14ac:dyDescent="0.3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ht="13.5" customHeight="1" x14ac:dyDescent="0.3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ht="13.5" customHeight="1" x14ac:dyDescent="0.3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ht="13.5" customHeight="1" x14ac:dyDescent="0.3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ht="13.5" customHeight="1" x14ac:dyDescent="0.3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ht="13.5" customHeight="1" x14ac:dyDescent="0.3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ht="13.5" customHeight="1" x14ac:dyDescent="0.3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ht="13.5" customHeight="1" x14ac:dyDescent="0.3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ht="13.5" customHeight="1" x14ac:dyDescent="0.3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ht="13.5" customHeight="1" x14ac:dyDescent="0.3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ht="13.5" customHeight="1" x14ac:dyDescent="0.3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ht="13.5" customHeight="1" x14ac:dyDescent="0.3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ht="13.5" customHeight="1" x14ac:dyDescent="0.3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ht="13.5" customHeight="1" x14ac:dyDescent="0.3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ht="13.5" customHeight="1" x14ac:dyDescent="0.3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ht="13.5" customHeight="1" x14ac:dyDescent="0.3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ht="13.5" customHeight="1" x14ac:dyDescent="0.3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ht="13.5" customHeight="1" x14ac:dyDescent="0.3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ht="13.5" customHeight="1" x14ac:dyDescent="0.3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ht="13.5" customHeight="1" x14ac:dyDescent="0.3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ht="13.5" customHeight="1" x14ac:dyDescent="0.3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ht="13.5" customHeight="1" x14ac:dyDescent="0.3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ht="13.5" customHeight="1" x14ac:dyDescent="0.3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ht="13.5" customHeight="1" x14ac:dyDescent="0.3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ht="13.5" customHeight="1" x14ac:dyDescent="0.3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ht="13.5" customHeight="1" x14ac:dyDescent="0.3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ht="13.5" customHeight="1" x14ac:dyDescent="0.3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ht="13.5" customHeight="1" x14ac:dyDescent="0.3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ht="13.5" customHeight="1" x14ac:dyDescent="0.3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ht="13.5" customHeight="1" x14ac:dyDescent="0.3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ht="13.5" customHeight="1" x14ac:dyDescent="0.3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ht="13.5" customHeight="1" x14ac:dyDescent="0.3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ht="13.5" customHeight="1" x14ac:dyDescent="0.3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ht="13.5" customHeight="1" x14ac:dyDescent="0.3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ht="13.5" customHeight="1" x14ac:dyDescent="0.3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ht="13.5" customHeight="1" x14ac:dyDescent="0.3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ht="13.5" customHeight="1" x14ac:dyDescent="0.3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ht="13.5" customHeight="1" x14ac:dyDescent="0.3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ht="13.5" customHeight="1" x14ac:dyDescent="0.3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ht="13.5" customHeight="1" x14ac:dyDescent="0.3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ht="13.5" customHeight="1" x14ac:dyDescent="0.3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ht="13.5" customHeight="1" x14ac:dyDescent="0.3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ht="13.5" customHeight="1" x14ac:dyDescent="0.3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ht="13.5" customHeight="1" x14ac:dyDescent="0.3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ht="13.5" customHeight="1" x14ac:dyDescent="0.3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ht="13.5" customHeight="1" x14ac:dyDescent="0.3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ht="13.5" customHeight="1" x14ac:dyDescent="0.3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ht="13.5" customHeight="1" x14ac:dyDescent="0.3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ht="13.5" customHeight="1" x14ac:dyDescent="0.3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ht="13.5" customHeight="1" x14ac:dyDescent="0.3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ht="13.5" customHeight="1" x14ac:dyDescent="0.3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ht="13.5" customHeight="1" x14ac:dyDescent="0.3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ht="13.5" customHeight="1" x14ac:dyDescent="0.3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ht="13.5" customHeight="1" x14ac:dyDescent="0.3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ht="13.5" customHeight="1" x14ac:dyDescent="0.3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ht="13.5" customHeight="1" x14ac:dyDescent="0.3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ht="13.5" customHeight="1" x14ac:dyDescent="0.3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ht="13.5" customHeight="1" x14ac:dyDescent="0.3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ht="13.5" customHeight="1" x14ac:dyDescent="0.3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ht="13.5" customHeight="1" x14ac:dyDescent="0.3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ht="13.5" customHeight="1" x14ac:dyDescent="0.3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ht="13.5" customHeight="1" x14ac:dyDescent="0.3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ht="13.5" customHeight="1" x14ac:dyDescent="0.3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ht="13.5" customHeight="1" x14ac:dyDescent="0.3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ht="13.5" customHeight="1" x14ac:dyDescent="0.3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ht="13.5" customHeight="1" x14ac:dyDescent="0.3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ht="13.5" customHeight="1" x14ac:dyDescent="0.3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ht="13.5" customHeight="1" x14ac:dyDescent="0.3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ht="13.5" customHeight="1" x14ac:dyDescent="0.3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ht="13.5" customHeight="1" x14ac:dyDescent="0.3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ht="13.5" customHeight="1" x14ac:dyDescent="0.3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ht="13.5" customHeight="1" x14ac:dyDescent="0.3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ht="13.5" customHeight="1" x14ac:dyDescent="0.3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ht="13.5" customHeight="1" x14ac:dyDescent="0.3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ht="13.5" customHeight="1" x14ac:dyDescent="0.3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ht="13.5" customHeight="1" x14ac:dyDescent="0.3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ht="13.5" customHeight="1" x14ac:dyDescent="0.3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ht="13.5" customHeight="1" x14ac:dyDescent="0.3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ht="13.5" customHeight="1" x14ac:dyDescent="0.3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ht="13.5" customHeight="1" x14ac:dyDescent="0.3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ht="13.5" customHeight="1" x14ac:dyDescent="0.3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ht="13.5" customHeight="1" x14ac:dyDescent="0.3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ht="13.5" customHeight="1" x14ac:dyDescent="0.3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ht="13.5" customHeight="1" x14ac:dyDescent="0.3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ht="13.5" customHeight="1" x14ac:dyDescent="0.3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ht="13.5" customHeight="1" x14ac:dyDescent="0.3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ht="13.5" customHeight="1" x14ac:dyDescent="0.3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ht="13.5" customHeight="1" x14ac:dyDescent="0.3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ht="13.5" customHeight="1" x14ac:dyDescent="0.3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ht="13.5" customHeight="1" x14ac:dyDescent="0.3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ht="13.5" customHeight="1" x14ac:dyDescent="0.3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ht="13.5" customHeight="1" x14ac:dyDescent="0.3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ht="13.5" customHeight="1" x14ac:dyDescent="0.3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ht="13.5" customHeight="1" x14ac:dyDescent="0.3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ht="13.5" customHeight="1" x14ac:dyDescent="0.3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ht="13.5" customHeight="1" x14ac:dyDescent="0.3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ht="13.5" customHeight="1" x14ac:dyDescent="0.3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ht="13.5" customHeight="1" x14ac:dyDescent="0.3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ht="13.5" customHeight="1" x14ac:dyDescent="0.3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ht="13.5" customHeight="1" x14ac:dyDescent="0.3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ht="13.5" customHeight="1" x14ac:dyDescent="0.3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ht="13.5" customHeight="1" x14ac:dyDescent="0.3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ht="13.5" customHeight="1" x14ac:dyDescent="0.3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ht="13.5" customHeight="1" x14ac:dyDescent="0.3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ht="13.5" customHeight="1" x14ac:dyDescent="0.3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ht="13.5" customHeight="1" x14ac:dyDescent="0.3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ht="13.5" customHeight="1" x14ac:dyDescent="0.3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ht="13.5" customHeight="1" x14ac:dyDescent="0.3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ht="13.5" customHeight="1" x14ac:dyDescent="0.3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ht="13.5" customHeight="1" x14ac:dyDescent="0.3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ht="13.5" customHeight="1" x14ac:dyDescent="0.3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ht="13.5" customHeight="1" x14ac:dyDescent="0.3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ht="13.5" customHeight="1" x14ac:dyDescent="0.3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ht="13.5" customHeight="1" x14ac:dyDescent="0.3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ht="13.5" customHeight="1" x14ac:dyDescent="0.3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ht="13.5" customHeight="1" x14ac:dyDescent="0.3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ht="13.5" customHeight="1" x14ac:dyDescent="0.3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ht="13.5" customHeight="1" x14ac:dyDescent="0.3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ht="13.5" customHeight="1" x14ac:dyDescent="0.3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ht="13.5" customHeight="1" x14ac:dyDescent="0.3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ht="13.5" customHeight="1" x14ac:dyDescent="0.3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ht="13.5" customHeight="1" x14ac:dyDescent="0.3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ht="13.5" customHeight="1" x14ac:dyDescent="0.3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ht="13.5" customHeight="1" x14ac:dyDescent="0.3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ht="13.5" customHeight="1" x14ac:dyDescent="0.3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ht="13.5" customHeight="1" x14ac:dyDescent="0.3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ht="13.5" customHeight="1" x14ac:dyDescent="0.3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ht="13.5" customHeight="1" x14ac:dyDescent="0.3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ht="13.5" customHeight="1" x14ac:dyDescent="0.3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ht="13.5" customHeight="1" x14ac:dyDescent="0.3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ht="13.5" customHeight="1" x14ac:dyDescent="0.3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ht="13.5" customHeight="1" x14ac:dyDescent="0.3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ht="13.5" customHeight="1" x14ac:dyDescent="0.3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ht="13.5" customHeight="1" x14ac:dyDescent="0.3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ht="13.5" customHeight="1" x14ac:dyDescent="0.3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ht="13.5" customHeight="1" x14ac:dyDescent="0.3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ht="13.5" customHeight="1" x14ac:dyDescent="0.3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ht="13.5" customHeight="1" x14ac:dyDescent="0.3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ht="13.5" customHeight="1" x14ac:dyDescent="0.3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ht="13.5" customHeight="1" x14ac:dyDescent="0.3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ht="13.5" customHeight="1" x14ac:dyDescent="0.3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ht="13.5" customHeight="1" x14ac:dyDescent="0.3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ht="13.5" customHeight="1" x14ac:dyDescent="0.3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ht="13.5" customHeight="1" x14ac:dyDescent="0.3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ht="13.5" customHeight="1" x14ac:dyDescent="0.3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ht="13.5" customHeight="1" x14ac:dyDescent="0.3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ht="13.5" customHeight="1" x14ac:dyDescent="0.3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ht="13.5" customHeight="1" x14ac:dyDescent="0.3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ht="13.5" customHeight="1" x14ac:dyDescent="0.3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ht="13.5" customHeight="1" x14ac:dyDescent="0.3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ht="13.5" customHeight="1" x14ac:dyDescent="0.3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ht="13.5" customHeight="1" x14ac:dyDescent="0.3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ht="13.5" customHeight="1" x14ac:dyDescent="0.3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ht="13.5" customHeight="1" x14ac:dyDescent="0.3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ht="13.5" customHeight="1" x14ac:dyDescent="0.3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ht="13.5" customHeight="1" x14ac:dyDescent="0.3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ht="13.5" customHeight="1" x14ac:dyDescent="0.3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ht="13.5" customHeight="1" x14ac:dyDescent="0.3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ht="13.5" customHeight="1" x14ac:dyDescent="0.3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ht="13.5" customHeight="1" x14ac:dyDescent="0.3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ht="13.5" customHeight="1" x14ac:dyDescent="0.3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ht="13.5" customHeight="1" x14ac:dyDescent="0.3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ht="13.5" customHeight="1" x14ac:dyDescent="0.3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ht="13.5" customHeight="1" x14ac:dyDescent="0.3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ht="13.5" customHeight="1" x14ac:dyDescent="0.3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ht="13.5" customHeight="1" x14ac:dyDescent="0.3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ht="13.5" customHeight="1" x14ac:dyDescent="0.3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ht="13.5" customHeight="1" x14ac:dyDescent="0.3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ht="13.5" customHeight="1" x14ac:dyDescent="0.3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ht="13.5" customHeight="1" x14ac:dyDescent="0.3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ht="13.5" customHeight="1" x14ac:dyDescent="0.3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ht="13.5" customHeight="1" x14ac:dyDescent="0.3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ht="13.5" customHeight="1" x14ac:dyDescent="0.3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ht="13.5" customHeight="1" x14ac:dyDescent="0.3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ht="13.5" customHeight="1" x14ac:dyDescent="0.3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ht="13.5" customHeight="1" x14ac:dyDescent="0.3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ht="13.5" customHeight="1" x14ac:dyDescent="0.3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ht="13.5" customHeight="1" x14ac:dyDescent="0.3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ht="13.5" customHeight="1" x14ac:dyDescent="0.3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ht="13.5" customHeight="1" x14ac:dyDescent="0.3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ht="13.5" customHeight="1" x14ac:dyDescent="0.3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ht="13.5" customHeight="1" x14ac:dyDescent="0.3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ht="13.5" customHeight="1" x14ac:dyDescent="0.3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ht="13.5" customHeight="1" x14ac:dyDescent="0.3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ht="13.5" customHeight="1" x14ac:dyDescent="0.3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ht="13.5" customHeight="1" x14ac:dyDescent="0.3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ht="13.5" customHeight="1" x14ac:dyDescent="0.3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ht="13.5" customHeight="1" x14ac:dyDescent="0.3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ht="13.5" customHeight="1" x14ac:dyDescent="0.3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ht="13.5" customHeight="1" x14ac:dyDescent="0.3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ht="13.5" customHeight="1" x14ac:dyDescent="0.3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ht="13.5" customHeight="1" x14ac:dyDescent="0.3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ht="13.5" customHeight="1" x14ac:dyDescent="0.3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ht="13.5" customHeight="1" x14ac:dyDescent="0.3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ht="13.5" customHeight="1" x14ac:dyDescent="0.3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ht="13.5" customHeight="1" x14ac:dyDescent="0.3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ht="13.5" customHeight="1" x14ac:dyDescent="0.3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ht="13.5" customHeight="1" x14ac:dyDescent="0.3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ht="13.5" customHeight="1" x14ac:dyDescent="0.3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ht="13.5" customHeight="1" x14ac:dyDescent="0.3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ht="13.5" customHeight="1" x14ac:dyDescent="0.3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ht="13.5" customHeight="1" x14ac:dyDescent="0.3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ht="13.5" customHeight="1" x14ac:dyDescent="0.3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ht="13.5" customHeight="1" x14ac:dyDescent="0.3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ht="13.5" customHeight="1" x14ac:dyDescent="0.3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ht="13.5" customHeight="1" x14ac:dyDescent="0.3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ht="13.5" customHeight="1" x14ac:dyDescent="0.3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ht="13.5" customHeight="1" x14ac:dyDescent="0.3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ht="13.5" customHeight="1" x14ac:dyDescent="0.3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ht="13.5" customHeight="1" x14ac:dyDescent="0.3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ht="13.5" customHeight="1" x14ac:dyDescent="0.3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ht="13.5" customHeight="1" x14ac:dyDescent="0.3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ht="13.5" customHeight="1" x14ac:dyDescent="0.3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ht="13.5" customHeight="1" x14ac:dyDescent="0.3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ht="13.5" customHeight="1" x14ac:dyDescent="0.3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ht="13.5" customHeight="1" x14ac:dyDescent="0.3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ht="13.5" customHeight="1" x14ac:dyDescent="0.3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ht="13.5" customHeight="1" x14ac:dyDescent="0.3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ht="13.5" customHeight="1" x14ac:dyDescent="0.3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ht="13.5" customHeight="1" x14ac:dyDescent="0.3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ht="13.5" customHeight="1" x14ac:dyDescent="0.3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ht="13.5" customHeight="1" x14ac:dyDescent="0.3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ht="13.5" customHeight="1" x14ac:dyDescent="0.3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ht="13.5" customHeight="1" x14ac:dyDescent="0.3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ht="13.5" customHeight="1" x14ac:dyDescent="0.3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ht="13.5" customHeight="1" x14ac:dyDescent="0.3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ht="13.5" customHeight="1" x14ac:dyDescent="0.3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ht="13.5" customHeight="1" x14ac:dyDescent="0.3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ht="13.5" customHeight="1" x14ac:dyDescent="0.3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ht="13.5" customHeight="1" x14ac:dyDescent="0.3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ht="13.5" customHeight="1" x14ac:dyDescent="0.3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ht="13.5" customHeight="1" x14ac:dyDescent="0.3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ht="13.5" customHeight="1" x14ac:dyDescent="0.3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ht="13.5" customHeight="1" x14ac:dyDescent="0.3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ht="13.5" customHeight="1" x14ac:dyDescent="0.3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ht="13.5" customHeight="1" x14ac:dyDescent="0.3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ht="13.5" customHeight="1" x14ac:dyDescent="0.3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ht="13.5" customHeight="1" x14ac:dyDescent="0.3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ht="13.5" customHeight="1" x14ac:dyDescent="0.3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ht="13.5" customHeight="1" x14ac:dyDescent="0.3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ht="13.5" customHeight="1" x14ac:dyDescent="0.3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ht="13.5" customHeight="1" x14ac:dyDescent="0.3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ht="13.5" customHeight="1" x14ac:dyDescent="0.3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ht="13.5" customHeight="1" x14ac:dyDescent="0.3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ht="13.5" customHeight="1" x14ac:dyDescent="0.3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ht="13.5" customHeight="1" x14ac:dyDescent="0.3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ht="13.5" customHeight="1" x14ac:dyDescent="0.3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ht="13.5" customHeight="1" x14ac:dyDescent="0.3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ht="13.5" customHeight="1" x14ac:dyDescent="0.3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ht="13.5" customHeight="1" x14ac:dyDescent="0.3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ht="13.5" customHeight="1" x14ac:dyDescent="0.3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ht="13.5" customHeight="1" x14ac:dyDescent="0.3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ht="13.5" customHeight="1" x14ac:dyDescent="0.3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ht="13.5" customHeight="1" x14ac:dyDescent="0.3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ht="13.5" customHeight="1" x14ac:dyDescent="0.3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ht="13.5" customHeight="1" x14ac:dyDescent="0.3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ht="13.5" customHeight="1" x14ac:dyDescent="0.3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ht="13.5" customHeight="1" x14ac:dyDescent="0.3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ht="13.5" customHeight="1" x14ac:dyDescent="0.3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ht="13.5" customHeight="1" x14ac:dyDescent="0.3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ht="13.5" customHeight="1" x14ac:dyDescent="0.3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ht="13.5" customHeight="1" x14ac:dyDescent="0.3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ht="13.5" customHeight="1" x14ac:dyDescent="0.3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ht="13.5" customHeight="1" x14ac:dyDescent="0.3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ht="13.5" customHeight="1" x14ac:dyDescent="0.3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ht="13.5" customHeight="1" x14ac:dyDescent="0.3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ht="13.5" customHeight="1" x14ac:dyDescent="0.3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ht="13.5" customHeight="1" x14ac:dyDescent="0.3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ht="13.5" customHeight="1" x14ac:dyDescent="0.3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ht="13.5" customHeight="1" x14ac:dyDescent="0.3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ht="13.5" customHeight="1" x14ac:dyDescent="0.3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ht="13.5" customHeight="1" x14ac:dyDescent="0.3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ht="13.5" customHeight="1" x14ac:dyDescent="0.3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ht="13.5" customHeight="1" x14ac:dyDescent="0.3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ht="13.5" customHeight="1" x14ac:dyDescent="0.3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ht="13.5" customHeight="1" x14ac:dyDescent="0.3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ht="13.5" customHeight="1" x14ac:dyDescent="0.3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ht="13.5" customHeight="1" x14ac:dyDescent="0.3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ht="13.5" customHeight="1" x14ac:dyDescent="0.3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ht="13.5" customHeight="1" x14ac:dyDescent="0.3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ht="13.5" customHeight="1" x14ac:dyDescent="0.3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ht="13.5" customHeight="1" x14ac:dyDescent="0.3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ht="13.5" customHeight="1" x14ac:dyDescent="0.3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ht="13.5" customHeight="1" x14ac:dyDescent="0.3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ht="13.5" customHeight="1" x14ac:dyDescent="0.3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ht="13.5" customHeight="1" x14ac:dyDescent="0.3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ht="13.5" customHeight="1" x14ac:dyDescent="0.3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ht="13.5" customHeight="1" x14ac:dyDescent="0.3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ht="13.5" customHeight="1" x14ac:dyDescent="0.3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ht="13.5" customHeight="1" x14ac:dyDescent="0.3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ht="13.5" customHeight="1" x14ac:dyDescent="0.3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ht="13.5" customHeight="1" x14ac:dyDescent="0.3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ht="13.5" customHeight="1" x14ac:dyDescent="0.3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ht="13.5" customHeight="1" x14ac:dyDescent="0.3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ht="13.5" customHeight="1" x14ac:dyDescent="0.3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ht="13.5" customHeight="1" x14ac:dyDescent="0.3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ht="13.5" customHeight="1" x14ac:dyDescent="0.3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ht="13.5" customHeight="1" x14ac:dyDescent="0.3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ht="13.5" customHeight="1" x14ac:dyDescent="0.3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ht="13.5" customHeight="1" x14ac:dyDescent="0.3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ht="13.5" customHeight="1" x14ac:dyDescent="0.3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ht="13.5" customHeight="1" x14ac:dyDescent="0.3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ht="13.5" customHeight="1" x14ac:dyDescent="0.3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ht="13.5" customHeight="1" x14ac:dyDescent="0.3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ht="13.5" customHeight="1" x14ac:dyDescent="0.3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ht="13.5" customHeight="1" x14ac:dyDescent="0.3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ht="13.5" customHeight="1" x14ac:dyDescent="0.3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ht="13.5" customHeight="1" x14ac:dyDescent="0.3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ht="13.5" customHeight="1" x14ac:dyDescent="0.3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ht="13.5" customHeight="1" x14ac:dyDescent="0.3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ht="13.5" customHeight="1" x14ac:dyDescent="0.3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ht="13.5" customHeight="1" x14ac:dyDescent="0.3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ht="13.5" customHeight="1" x14ac:dyDescent="0.3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ht="13.5" customHeight="1" x14ac:dyDescent="0.3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ht="13.5" customHeight="1" x14ac:dyDescent="0.3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ht="13.5" customHeight="1" x14ac:dyDescent="0.3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ht="13.5" customHeight="1" x14ac:dyDescent="0.3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ht="13.5" customHeight="1" x14ac:dyDescent="0.3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ht="13.5" customHeight="1" x14ac:dyDescent="0.3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ht="13.5" customHeight="1" x14ac:dyDescent="0.3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ht="13.5" customHeight="1" x14ac:dyDescent="0.3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ht="13.5" customHeight="1" x14ac:dyDescent="0.3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ht="13.5" customHeight="1" x14ac:dyDescent="0.3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ht="13.5" customHeight="1" x14ac:dyDescent="0.3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ht="13.5" customHeight="1" x14ac:dyDescent="0.3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ht="13.5" customHeight="1" x14ac:dyDescent="0.3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ht="13.5" customHeight="1" x14ac:dyDescent="0.3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ht="13.5" customHeight="1" x14ac:dyDescent="0.3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ht="13.5" customHeight="1" x14ac:dyDescent="0.3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ht="13.5" customHeight="1" x14ac:dyDescent="0.3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ht="13.5" customHeight="1" x14ac:dyDescent="0.3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ht="13.5" customHeight="1" x14ac:dyDescent="0.3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ht="13.5" customHeight="1" x14ac:dyDescent="0.3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ht="13.5" customHeight="1" x14ac:dyDescent="0.3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ht="13.5" customHeight="1" x14ac:dyDescent="0.3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ht="13.5" customHeight="1" x14ac:dyDescent="0.3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ht="13.5" customHeight="1" x14ac:dyDescent="0.3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ht="13.5" customHeight="1" x14ac:dyDescent="0.3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ht="13.5" customHeight="1" x14ac:dyDescent="0.3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ht="13.5" customHeight="1" x14ac:dyDescent="0.3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ht="13.5" customHeight="1" x14ac:dyDescent="0.3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ht="13.5" customHeight="1" x14ac:dyDescent="0.3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ht="13.5" customHeight="1" x14ac:dyDescent="0.3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ht="13.5" customHeight="1" x14ac:dyDescent="0.3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ht="13.5" customHeight="1" x14ac:dyDescent="0.3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ht="13.5" customHeight="1" x14ac:dyDescent="0.3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ht="13.5" customHeight="1" x14ac:dyDescent="0.3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ht="13.5" customHeight="1" x14ac:dyDescent="0.3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ht="13.5" customHeight="1" x14ac:dyDescent="0.3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ht="13.5" customHeight="1" x14ac:dyDescent="0.3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ht="13.5" customHeight="1" x14ac:dyDescent="0.3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ht="13.5" customHeight="1" x14ac:dyDescent="0.3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ht="13.5" customHeight="1" x14ac:dyDescent="0.3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ht="13.5" customHeight="1" x14ac:dyDescent="0.3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ht="13.5" customHeight="1" x14ac:dyDescent="0.3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ht="13.5" customHeight="1" x14ac:dyDescent="0.3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ht="13.5" customHeight="1" x14ac:dyDescent="0.3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ht="13.5" customHeight="1" x14ac:dyDescent="0.3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ht="13.5" customHeight="1" x14ac:dyDescent="0.3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ht="13.5" customHeight="1" x14ac:dyDescent="0.3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ht="13.5" customHeight="1" x14ac:dyDescent="0.3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ht="13.5" customHeight="1" x14ac:dyDescent="0.3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ht="13.5" customHeight="1" x14ac:dyDescent="0.3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ht="13.5" customHeight="1" x14ac:dyDescent="0.3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ht="13.5" customHeight="1" x14ac:dyDescent="0.3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ht="13.5" customHeight="1" x14ac:dyDescent="0.3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ht="13.5" customHeight="1" x14ac:dyDescent="0.3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ht="13.5" customHeight="1" x14ac:dyDescent="0.3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ht="13.5" customHeight="1" x14ac:dyDescent="0.3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ht="13.5" customHeight="1" x14ac:dyDescent="0.3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ht="13.5" customHeight="1" x14ac:dyDescent="0.3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ht="13.5" customHeight="1" x14ac:dyDescent="0.3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ht="13.5" customHeight="1" x14ac:dyDescent="0.3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ht="13.5" customHeight="1" x14ac:dyDescent="0.3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ht="13.5" customHeight="1" x14ac:dyDescent="0.3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ht="13.5" customHeight="1" x14ac:dyDescent="0.3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ht="13.5" customHeight="1" x14ac:dyDescent="0.3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ht="13.5" customHeight="1" x14ac:dyDescent="0.3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ht="13.5" customHeight="1" x14ac:dyDescent="0.3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ht="13.5" customHeight="1" x14ac:dyDescent="0.3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ht="13.5" customHeight="1" x14ac:dyDescent="0.3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ht="13.5" customHeight="1" x14ac:dyDescent="0.3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ht="13.5" customHeight="1" x14ac:dyDescent="0.3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ht="13.5" customHeight="1" x14ac:dyDescent="0.3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ht="13.5" customHeight="1" x14ac:dyDescent="0.3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ht="13.5" customHeight="1" x14ac:dyDescent="0.3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ht="13.5" customHeight="1" x14ac:dyDescent="0.3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ht="13.5" customHeight="1" x14ac:dyDescent="0.3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ht="13.5" customHeight="1" x14ac:dyDescent="0.3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ht="13.5" customHeight="1" x14ac:dyDescent="0.3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ht="13.5" customHeight="1" x14ac:dyDescent="0.3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ht="13.5" customHeight="1" x14ac:dyDescent="0.3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ht="13.5" customHeight="1" x14ac:dyDescent="0.3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ht="13.5" customHeight="1" x14ac:dyDescent="0.3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ht="13.5" customHeight="1" x14ac:dyDescent="0.3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ht="13.5" customHeight="1" x14ac:dyDescent="0.3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ht="13.5" customHeight="1" x14ac:dyDescent="0.3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ht="13.5" customHeight="1" x14ac:dyDescent="0.3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ht="13.5" customHeight="1" x14ac:dyDescent="0.3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ht="13.5" customHeight="1" x14ac:dyDescent="0.3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ht="13.5" customHeight="1" x14ac:dyDescent="0.3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ht="13.5" customHeight="1" x14ac:dyDescent="0.3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ht="13.5" customHeight="1" x14ac:dyDescent="0.3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ht="13.5" customHeight="1" x14ac:dyDescent="0.3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ht="13.5" customHeight="1" x14ac:dyDescent="0.3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ht="13.5" customHeight="1" x14ac:dyDescent="0.3">
      <c r="A558" s="45"/>
      <c r="B558" s="45"/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ht="13.5" customHeight="1" x14ac:dyDescent="0.3">
      <c r="A559" s="45"/>
      <c r="B559" s="45"/>
      <c r="C559" s="45"/>
      <c r="D559" s="45"/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ht="13.5" customHeight="1" x14ac:dyDescent="0.3">
      <c r="A560" s="45"/>
      <c r="B560" s="45"/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ht="13.5" customHeight="1" x14ac:dyDescent="0.3">
      <c r="A561" s="45"/>
      <c r="B561" s="45"/>
      <c r="C561" s="45"/>
      <c r="D561" s="45"/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ht="13.5" customHeight="1" x14ac:dyDescent="0.3">
      <c r="A562" s="45"/>
      <c r="B562" s="45"/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ht="13.5" customHeight="1" x14ac:dyDescent="0.3">
      <c r="A563" s="45"/>
      <c r="B563" s="45"/>
      <c r="C563" s="45"/>
      <c r="D563" s="45"/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ht="13.5" customHeight="1" x14ac:dyDescent="0.3">
      <c r="A564" s="45"/>
      <c r="B564" s="45"/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ht="13.5" customHeight="1" x14ac:dyDescent="0.3">
      <c r="A565" s="45"/>
      <c r="B565" s="45"/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ht="13.5" customHeight="1" x14ac:dyDescent="0.3">
      <c r="A566" s="45"/>
      <c r="B566" s="45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ht="13.5" customHeight="1" x14ac:dyDescent="0.3">
      <c r="A567" s="45"/>
      <c r="B567" s="45"/>
      <c r="C567" s="45"/>
      <c r="D567" s="45"/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ht="13.5" customHeight="1" x14ac:dyDescent="0.3">
      <c r="A568" s="45"/>
      <c r="B568" s="45"/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ht="13.5" customHeight="1" x14ac:dyDescent="0.3">
      <c r="A569" s="45"/>
      <c r="B569" s="45"/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ht="13.5" customHeight="1" x14ac:dyDescent="0.3">
      <c r="A570" s="45"/>
      <c r="B570" s="45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ht="13.5" customHeight="1" x14ac:dyDescent="0.3">
      <c r="A571" s="45"/>
      <c r="B571" s="45"/>
      <c r="C571" s="45"/>
      <c r="D571" s="45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ht="13.5" customHeight="1" x14ac:dyDescent="0.3">
      <c r="A572" s="45"/>
      <c r="B572" s="45"/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ht="13.5" customHeight="1" x14ac:dyDescent="0.3">
      <c r="A573" s="45"/>
      <c r="B573" s="45"/>
      <c r="C573" s="45"/>
      <c r="D573" s="45"/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ht="13.5" customHeight="1" x14ac:dyDescent="0.3">
      <c r="A574" s="45"/>
      <c r="B574" s="45"/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ht="13.5" customHeight="1" x14ac:dyDescent="0.3">
      <c r="A575" s="45"/>
      <c r="B575" s="45"/>
      <c r="C575" s="45"/>
      <c r="D575" s="45"/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ht="13.5" customHeight="1" x14ac:dyDescent="0.3">
      <c r="A576" s="45"/>
      <c r="B576" s="45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ht="13.5" customHeight="1" x14ac:dyDescent="0.3">
      <c r="A577" s="45"/>
      <c r="B577" s="45"/>
      <c r="C577" s="45"/>
      <c r="D577" s="45"/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ht="13.5" customHeight="1" x14ac:dyDescent="0.3">
      <c r="A578" s="45"/>
      <c r="B578" s="45"/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ht="13.5" customHeight="1" x14ac:dyDescent="0.3">
      <c r="A579" s="45"/>
      <c r="B579" s="45"/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ht="13.5" customHeight="1" x14ac:dyDescent="0.3">
      <c r="A580" s="45"/>
      <c r="B580" s="45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ht="13.5" customHeight="1" x14ac:dyDescent="0.3">
      <c r="A581" s="45"/>
      <c r="B581" s="45"/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ht="13.5" customHeight="1" x14ac:dyDescent="0.3">
      <c r="A582" s="45"/>
      <c r="B582" s="45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ht="13.5" customHeight="1" x14ac:dyDescent="0.3">
      <c r="A583" s="45"/>
      <c r="B583" s="45"/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ht="13.5" customHeight="1" x14ac:dyDescent="0.3">
      <c r="A584" s="45"/>
      <c r="B584" s="45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ht="13.5" customHeight="1" x14ac:dyDescent="0.3">
      <c r="A585" s="45"/>
      <c r="B585" s="45"/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ht="13.5" customHeight="1" x14ac:dyDescent="0.3">
      <c r="A586" s="45"/>
      <c r="B586" s="45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ht="13.5" customHeight="1" x14ac:dyDescent="0.3">
      <c r="A587" s="45"/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ht="13.5" customHeight="1" x14ac:dyDescent="0.3">
      <c r="A588" s="45"/>
      <c r="B588" s="45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ht="13.5" customHeight="1" x14ac:dyDescent="0.3">
      <c r="A589" s="45"/>
      <c r="B589" s="45"/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ht="13.5" customHeight="1" x14ac:dyDescent="0.3">
      <c r="A590" s="45"/>
      <c r="B590" s="45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ht="13.5" customHeight="1" x14ac:dyDescent="0.3">
      <c r="A591" s="45"/>
      <c r="B591" s="45"/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ht="13.5" customHeight="1" x14ac:dyDescent="0.3">
      <c r="A592" s="45"/>
      <c r="B592" s="45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ht="13.5" customHeight="1" x14ac:dyDescent="0.3">
      <c r="A593" s="45"/>
      <c r="B593" s="45"/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ht="13.5" customHeight="1" x14ac:dyDescent="0.3">
      <c r="A594" s="45"/>
      <c r="B594" s="45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ht="13.5" customHeight="1" x14ac:dyDescent="0.3">
      <c r="A595" s="45"/>
      <c r="B595" s="45"/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ht="13.5" customHeight="1" x14ac:dyDescent="0.3">
      <c r="A596" s="45"/>
      <c r="B596" s="45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ht="13.5" customHeight="1" x14ac:dyDescent="0.3">
      <c r="A597" s="45"/>
      <c r="B597" s="45"/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ht="13.5" customHeight="1" x14ac:dyDescent="0.3">
      <c r="A598" s="45"/>
      <c r="B598" s="45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ht="13.5" customHeight="1" x14ac:dyDescent="0.3">
      <c r="A599" s="45"/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ht="13.5" customHeight="1" x14ac:dyDescent="0.3">
      <c r="A600" s="45"/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ht="13.5" customHeight="1" x14ac:dyDescent="0.3">
      <c r="A601" s="45"/>
      <c r="B601" s="45"/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ht="13.5" customHeight="1" x14ac:dyDescent="0.3">
      <c r="A602" s="45"/>
      <c r="B602" s="45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ht="13.5" customHeight="1" x14ac:dyDescent="0.3">
      <c r="A603" s="45"/>
      <c r="B603" s="45"/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ht="13.5" customHeight="1" x14ac:dyDescent="0.3">
      <c r="A604" s="45"/>
      <c r="B604" s="45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ht="13.5" customHeight="1" x14ac:dyDescent="0.3">
      <c r="A605" s="45"/>
      <c r="B605" s="45"/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ht="13.5" customHeight="1" x14ac:dyDescent="0.3">
      <c r="A606" s="45"/>
      <c r="B606" s="45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ht="13.5" customHeight="1" x14ac:dyDescent="0.3">
      <c r="A607" s="45"/>
      <c r="B607" s="45"/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ht="13.5" customHeight="1" x14ac:dyDescent="0.3">
      <c r="A608" s="45"/>
      <c r="B608" s="45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ht="13.5" customHeight="1" x14ac:dyDescent="0.3">
      <c r="A609" s="45"/>
      <c r="B609" s="45"/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ht="13.5" customHeight="1" x14ac:dyDescent="0.3">
      <c r="A610" s="45"/>
      <c r="B610" s="45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ht="13.5" customHeight="1" x14ac:dyDescent="0.3">
      <c r="A611" s="45"/>
      <c r="B611" s="45"/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ht="13.5" customHeight="1" x14ac:dyDescent="0.3">
      <c r="A612" s="45"/>
      <c r="B612" s="45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ht="13.5" customHeight="1" x14ac:dyDescent="0.3">
      <c r="A613" s="45"/>
      <c r="B613" s="45"/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ht="13.5" customHeight="1" x14ac:dyDescent="0.3">
      <c r="A614" s="45"/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ht="13.5" customHeight="1" x14ac:dyDescent="0.3">
      <c r="A615" s="45"/>
      <c r="B615" s="45"/>
      <c r="C615" s="45"/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ht="13.5" customHeight="1" x14ac:dyDescent="0.3">
      <c r="A616" s="45"/>
      <c r="B616" s="45"/>
      <c r="C616" s="45"/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ht="13.5" customHeight="1" x14ac:dyDescent="0.3">
      <c r="A617" s="45"/>
      <c r="B617" s="45"/>
      <c r="C617" s="45"/>
      <c r="D617" s="45"/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ht="13.5" customHeight="1" x14ac:dyDescent="0.3">
      <c r="A618" s="45"/>
      <c r="B618" s="45"/>
      <c r="C618" s="45"/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ht="13.5" customHeight="1" x14ac:dyDescent="0.3">
      <c r="A619" s="45"/>
      <c r="B619" s="45"/>
      <c r="C619" s="45"/>
      <c r="D619" s="45"/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ht="13.5" customHeight="1" x14ac:dyDescent="0.3">
      <c r="A620" s="45"/>
      <c r="B620" s="45"/>
      <c r="C620" s="45"/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ht="13.5" customHeight="1" x14ac:dyDescent="0.3">
      <c r="A621" s="45"/>
      <c r="B621" s="45"/>
      <c r="C621" s="45"/>
      <c r="D621" s="45"/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ht="13.5" customHeight="1" x14ac:dyDescent="0.3">
      <c r="A622" s="45"/>
      <c r="B622" s="45"/>
      <c r="C622" s="45"/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ht="13.5" customHeight="1" x14ac:dyDescent="0.3">
      <c r="A623" s="45"/>
      <c r="B623" s="45"/>
      <c r="C623" s="45"/>
      <c r="D623" s="45"/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ht="13.5" customHeight="1" x14ac:dyDescent="0.3">
      <c r="A624" s="45"/>
      <c r="B624" s="45"/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ht="13.5" customHeight="1" x14ac:dyDescent="0.3">
      <c r="A625" s="45"/>
      <c r="B625" s="45"/>
      <c r="C625" s="45"/>
      <c r="D625" s="45"/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ht="13.5" customHeight="1" x14ac:dyDescent="0.3">
      <c r="A626" s="45"/>
      <c r="B626" s="45"/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ht="13.5" customHeight="1" x14ac:dyDescent="0.3">
      <c r="A627" s="45"/>
      <c r="B627" s="45"/>
      <c r="C627" s="45"/>
      <c r="D627" s="45"/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ht="13.5" customHeight="1" x14ac:dyDescent="0.3">
      <c r="A628" s="45"/>
      <c r="B628" s="45"/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ht="13.5" customHeight="1" x14ac:dyDescent="0.3">
      <c r="A629" s="45"/>
      <c r="B629" s="45"/>
      <c r="C629" s="45"/>
      <c r="D629" s="45"/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ht="13.5" customHeight="1" x14ac:dyDescent="0.3">
      <c r="A630" s="45"/>
      <c r="B630" s="45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ht="13.5" customHeight="1" x14ac:dyDescent="0.3">
      <c r="A631" s="45"/>
      <c r="B631" s="45"/>
      <c r="C631" s="45"/>
      <c r="D631" s="45"/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ht="13.5" customHeight="1" x14ac:dyDescent="0.3">
      <c r="A632" s="45"/>
      <c r="B632" s="45"/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ht="13.5" customHeight="1" x14ac:dyDescent="0.3">
      <c r="A633" s="45"/>
      <c r="B633" s="45"/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ht="13.5" customHeight="1" x14ac:dyDescent="0.3">
      <c r="A634" s="45"/>
      <c r="B634" s="45"/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ht="13.5" customHeight="1" x14ac:dyDescent="0.3">
      <c r="A635" s="45"/>
      <c r="B635" s="45"/>
      <c r="C635" s="45"/>
      <c r="D635" s="45"/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ht="13.5" customHeight="1" x14ac:dyDescent="0.3">
      <c r="A636" s="45"/>
      <c r="B636" s="45"/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ht="13.5" customHeight="1" x14ac:dyDescent="0.3">
      <c r="A637" s="45"/>
      <c r="B637" s="45"/>
      <c r="C637" s="45"/>
      <c r="D637" s="45"/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ht="13.5" customHeight="1" x14ac:dyDescent="0.3">
      <c r="A638" s="45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ht="13.5" customHeight="1" x14ac:dyDescent="0.3">
      <c r="A639" s="45"/>
      <c r="B639" s="45"/>
      <c r="C639" s="45"/>
      <c r="D639" s="45"/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ht="13.5" customHeight="1" x14ac:dyDescent="0.3">
      <c r="A640" s="45"/>
      <c r="B640" s="45"/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ht="13.5" customHeight="1" x14ac:dyDescent="0.3">
      <c r="A641" s="45"/>
      <c r="B641" s="45"/>
      <c r="C641" s="45"/>
      <c r="D641" s="45"/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ht="13.5" customHeight="1" x14ac:dyDescent="0.3">
      <c r="A642" s="45"/>
      <c r="B642" s="45"/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ht="13.5" customHeight="1" x14ac:dyDescent="0.3">
      <c r="A643" s="45"/>
      <c r="B643" s="45"/>
      <c r="C643" s="45"/>
      <c r="D643" s="45"/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ht="13.5" customHeight="1" x14ac:dyDescent="0.3">
      <c r="A644" s="45"/>
      <c r="B644" s="45"/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ht="13.5" customHeight="1" x14ac:dyDescent="0.3">
      <c r="A645" s="45"/>
      <c r="B645" s="45"/>
      <c r="C645" s="45"/>
      <c r="D645" s="45"/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ht="13.5" customHeight="1" x14ac:dyDescent="0.3">
      <c r="A646" s="45"/>
      <c r="B646" s="45"/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ht="13.5" customHeight="1" x14ac:dyDescent="0.3">
      <c r="A647" s="45"/>
      <c r="B647" s="45"/>
      <c r="C647" s="45"/>
      <c r="D647" s="45"/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ht="13.5" customHeight="1" x14ac:dyDescent="0.3">
      <c r="A648" s="45"/>
      <c r="B648" s="45"/>
      <c r="C648" s="45"/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ht="13.5" customHeight="1" x14ac:dyDescent="0.3">
      <c r="A649" s="45"/>
      <c r="B649" s="45"/>
      <c r="C649" s="45"/>
      <c r="D649" s="45"/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ht="13.5" customHeight="1" x14ac:dyDescent="0.3">
      <c r="A650" s="45"/>
      <c r="B650" s="45"/>
      <c r="C650" s="45"/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ht="13.5" customHeight="1" x14ac:dyDescent="0.3">
      <c r="A651" s="45"/>
      <c r="B651" s="45"/>
      <c r="C651" s="45"/>
      <c r="D651" s="45"/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ht="13.5" customHeight="1" x14ac:dyDescent="0.3">
      <c r="A652" s="45"/>
      <c r="B652" s="45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ht="13.5" customHeight="1" x14ac:dyDescent="0.3">
      <c r="A653" s="45"/>
      <c r="B653" s="45"/>
      <c r="C653" s="45"/>
      <c r="D653" s="45"/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ht="13.5" customHeight="1" x14ac:dyDescent="0.3">
      <c r="A654" s="45"/>
      <c r="B654" s="45"/>
      <c r="C654" s="45"/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ht="13.5" customHeight="1" x14ac:dyDescent="0.3">
      <c r="A655" s="45"/>
      <c r="B655" s="45"/>
      <c r="C655" s="45"/>
      <c r="D655" s="45"/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ht="13.5" customHeight="1" x14ac:dyDescent="0.3">
      <c r="A656" s="45"/>
      <c r="B656" s="45"/>
      <c r="C656" s="45"/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ht="13.5" customHeight="1" x14ac:dyDescent="0.3">
      <c r="A657" s="45"/>
      <c r="B657" s="45"/>
      <c r="C657" s="45"/>
      <c r="D657" s="45"/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ht="13.5" customHeight="1" x14ac:dyDescent="0.3">
      <c r="A658" s="45"/>
      <c r="B658" s="45"/>
      <c r="C658" s="45"/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ht="13.5" customHeight="1" x14ac:dyDescent="0.3">
      <c r="A659" s="45"/>
      <c r="B659" s="45"/>
      <c r="C659" s="45"/>
      <c r="D659" s="45"/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ht="13.5" customHeight="1" x14ac:dyDescent="0.3">
      <c r="A660" s="45"/>
      <c r="B660" s="45"/>
      <c r="C660" s="45"/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ht="13.5" customHeight="1" x14ac:dyDescent="0.3">
      <c r="A661" s="45"/>
      <c r="B661" s="45"/>
      <c r="C661" s="45"/>
      <c r="D661" s="45"/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ht="13.5" customHeight="1" x14ac:dyDescent="0.3">
      <c r="A662" s="45"/>
      <c r="B662" s="45"/>
      <c r="C662" s="45"/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ht="13.5" customHeight="1" x14ac:dyDescent="0.3">
      <c r="A663" s="45"/>
      <c r="B663" s="45"/>
      <c r="C663" s="45"/>
      <c r="D663" s="45"/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ht="13.5" customHeight="1" x14ac:dyDescent="0.3">
      <c r="A664" s="45"/>
      <c r="B664" s="45"/>
      <c r="C664" s="45"/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ht="13.5" customHeight="1" x14ac:dyDescent="0.3">
      <c r="A665" s="45"/>
      <c r="B665" s="45"/>
      <c r="C665" s="45"/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ht="13.5" customHeight="1" x14ac:dyDescent="0.3">
      <c r="A666" s="45"/>
      <c r="B666" s="45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ht="13.5" customHeight="1" x14ac:dyDescent="0.3">
      <c r="A667" s="45"/>
      <c r="B667" s="45"/>
      <c r="C667" s="45"/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ht="13.5" customHeight="1" x14ac:dyDescent="0.3">
      <c r="A668" s="45"/>
      <c r="B668" s="45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ht="13.5" customHeight="1" x14ac:dyDescent="0.3">
      <c r="A669" s="45"/>
      <c r="B669" s="45"/>
      <c r="C669" s="45"/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ht="13.5" customHeight="1" x14ac:dyDescent="0.3">
      <c r="A670" s="45"/>
      <c r="B670" s="45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ht="13.5" customHeight="1" x14ac:dyDescent="0.3">
      <c r="A671" s="45"/>
      <c r="B671" s="45"/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ht="13.5" customHeight="1" x14ac:dyDescent="0.3">
      <c r="A672" s="45"/>
      <c r="B672" s="45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ht="13.5" customHeight="1" x14ac:dyDescent="0.3">
      <c r="A673" s="45"/>
      <c r="B673" s="45"/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ht="13.5" customHeight="1" x14ac:dyDescent="0.3">
      <c r="A674" s="45"/>
      <c r="B674" s="45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ht="13.5" customHeight="1" x14ac:dyDescent="0.3">
      <c r="A675" s="45"/>
      <c r="B675" s="45"/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ht="13.5" customHeight="1" x14ac:dyDescent="0.3">
      <c r="A676" s="45"/>
      <c r="B676" s="45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ht="13.5" customHeight="1" x14ac:dyDescent="0.3">
      <c r="A677" s="45"/>
      <c r="B677" s="45"/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ht="13.5" customHeight="1" x14ac:dyDescent="0.3">
      <c r="A678" s="45"/>
      <c r="B678" s="45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ht="13.5" customHeight="1" x14ac:dyDescent="0.3">
      <c r="A679" s="45"/>
      <c r="B679" s="45"/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ht="13.5" customHeight="1" x14ac:dyDescent="0.3">
      <c r="A680" s="45"/>
      <c r="B680" s="45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ht="13.5" customHeight="1" x14ac:dyDescent="0.3">
      <c r="A681" s="45"/>
      <c r="B681" s="45"/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ht="13.5" customHeight="1" x14ac:dyDescent="0.3">
      <c r="A682" s="45"/>
      <c r="B682" s="45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ht="13.5" customHeight="1" x14ac:dyDescent="0.3">
      <c r="A683" s="45"/>
      <c r="B683" s="45"/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ht="13.5" customHeight="1" x14ac:dyDescent="0.3">
      <c r="A684" s="45"/>
      <c r="B684" s="45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ht="13.5" customHeight="1" x14ac:dyDescent="0.3">
      <c r="A685" s="45"/>
      <c r="B685" s="45"/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ht="13.5" customHeight="1" x14ac:dyDescent="0.3">
      <c r="A686" s="45"/>
      <c r="B686" s="45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ht="13.5" customHeight="1" x14ac:dyDescent="0.3">
      <c r="A687" s="45"/>
      <c r="B687" s="45"/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ht="13.5" customHeight="1" x14ac:dyDescent="0.3">
      <c r="A688" s="45"/>
      <c r="B688" s="45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ht="13.5" customHeight="1" x14ac:dyDescent="0.3">
      <c r="A689" s="45"/>
      <c r="B689" s="45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ht="13.5" customHeight="1" x14ac:dyDescent="0.3">
      <c r="A690" s="45"/>
      <c r="B690" s="45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ht="13.5" customHeight="1" x14ac:dyDescent="0.3">
      <c r="A691" s="45"/>
      <c r="B691" s="45"/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ht="13.5" customHeight="1" x14ac:dyDescent="0.3">
      <c r="A692" s="45"/>
      <c r="B692" s="45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ht="13.5" customHeight="1" x14ac:dyDescent="0.3">
      <c r="A693" s="45"/>
      <c r="B693" s="45"/>
      <c r="C693" s="45"/>
      <c r="D693" s="45"/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ht="13.5" customHeight="1" x14ac:dyDescent="0.3">
      <c r="A694" s="45"/>
      <c r="B694" s="45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ht="13.5" customHeight="1" x14ac:dyDescent="0.3">
      <c r="A695" s="45"/>
      <c r="B695" s="45"/>
      <c r="C695" s="45"/>
      <c r="D695" s="45"/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ht="13.5" customHeight="1" x14ac:dyDescent="0.3">
      <c r="A696" s="45"/>
      <c r="B696" s="45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ht="13.5" customHeight="1" x14ac:dyDescent="0.3">
      <c r="A697" s="45"/>
      <c r="B697" s="45"/>
      <c r="C697" s="45"/>
      <c r="D697" s="45"/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ht="13.5" customHeight="1" x14ac:dyDescent="0.3">
      <c r="A698" s="45"/>
      <c r="B698" s="45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ht="13.5" customHeight="1" x14ac:dyDescent="0.3">
      <c r="A699" s="45"/>
      <c r="B699" s="45"/>
      <c r="C699" s="45"/>
      <c r="D699" s="45"/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ht="13.5" customHeight="1" x14ac:dyDescent="0.3">
      <c r="A700" s="45"/>
      <c r="B700" s="45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ht="13.5" customHeight="1" x14ac:dyDescent="0.3">
      <c r="A701" s="45"/>
      <c r="B701" s="45"/>
      <c r="C701" s="45"/>
      <c r="D701" s="45"/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ht="13.5" customHeight="1" x14ac:dyDescent="0.3">
      <c r="A702" s="45"/>
      <c r="B702" s="45"/>
      <c r="C702" s="45"/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ht="13.5" customHeight="1" x14ac:dyDescent="0.3">
      <c r="A703" s="45"/>
      <c r="B703" s="45"/>
      <c r="C703" s="45"/>
      <c r="D703" s="45"/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ht="13.5" customHeight="1" x14ac:dyDescent="0.3">
      <c r="A704" s="45"/>
      <c r="B704" s="45"/>
      <c r="C704" s="45"/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ht="13.5" customHeight="1" x14ac:dyDescent="0.3">
      <c r="A705" s="45"/>
      <c r="B705" s="45"/>
      <c r="C705" s="45"/>
      <c r="D705" s="45"/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ht="13.5" customHeight="1" x14ac:dyDescent="0.3">
      <c r="A706" s="45"/>
      <c r="B706" s="45"/>
      <c r="C706" s="45"/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ht="13.5" customHeight="1" x14ac:dyDescent="0.3">
      <c r="A707" s="45"/>
      <c r="B707" s="45"/>
      <c r="C707" s="45"/>
      <c r="D707" s="45"/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ht="13.5" customHeight="1" x14ac:dyDescent="0.3">
      <c r="A708" s="45"/>
      <c r="B708" s="45"/>
      <c r="C708" s="45"/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ht="13.5" customHeight="1" x14ac:dyDescent="0.3">
      <c r="A709" s="45"/>
      <c r="B709" s="45"/>
      <c r="C709" s="45"/>
      <c r="D709" s="45"/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ht="13.5" customHeight="1" x14ac:dyDescent="0.3">
      <c r="A710" s="45"/>
      <c r="B710" s="45"/>
      <c r="C710" s="45"/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ht="13.5" customHeight="1" x14ac:dyDescent="0.3">
      <c r="A711" s="45"/>
      <c r="B711" s="45"/>
      <c r="C711" s="45"/>
      <c r="D711" s="45"/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ht="13.5" customHeight="1" x14ac:dyDescent="0.3">
      <c r="A712" s="45"/>
      <c r="B712" s="45"/>
      <c r="C712" s="45"/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ht="13.5" customHeight="1" x14ac:dyDescent="0.3">
      <c r="A713" s="45"/>
      <c r="B713" s="45"/>
      <c r="C713" s="45"/>
      <c r="D713" s="45"/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ht="13.5" customHeight="1" x14ac:dyDescent="0.3">
      <c r="A714" s="45"/>
      <c r="B714" s="45"/>
      <c r="C714" s="45"/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ht="13.5" customHeight="1" x14ac:dyDescent="0.3">
      <c r="A715" s="45"/>
      <c r="B715" s="45"/>
      <c r="C715" s="45"/>
      <c r="D715" s="45"/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ht="13.5" customHeight="1" x14ac:dyDescent="0.3">
      <c r="A716" s="45"/>
      <c r="B716" s="45"/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ht="13.5" customHeight="1" x14ac:dyDescent="0.3">
      <c r="A717" s="45"/>
      <c r="B717" s="45"/>
      <c r="C717" s="45"/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ht="13.5" customHeight="1" x14ac:dyDescent="0.3">
      <c r="A718" s="45"/>
      <c r="B718" s="45"/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ht="13.5" customHeight="1" x14ac:dyDescent="0.3">
      <c r="A719" s="45"/>
      <c r="B719" s="45"/>
      <c r="C719" s="45"/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ht="13.5" customHeight="1" x14ac:dyDescent="0.3">
      <c r="A720" s="45"/>
      <c r="B720" s="45"/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ht="13.5" customHeight="1" x14ac:dyDescent="0.3">
      <c r="A721" s="45"/>
      <c r="B721" s="45"/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ht="13.5" customHeight="1" x14ac:dyDescent="0.3">
      <c r="A722" s="45"/>
      <c r="B722" s="45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ht="13.5" customHeight="1" x14ac:dyDescent="0.3">
      <c r="A723" s="45"/>
      <c r="B723" s="45"/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ht="13.5" customHeight="1" x14ac:dyDescent="0.3">
      <c r="A724" s="45"/>
      <c r="B724" s="45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ht="13.5" customHeight="1" x14ac:dyDescent="0.3">
      <c r="A725" s="45"/>
      <c r="B725" s="45"/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ht="13.5" customHeight="1" x14ac:dyDescent="0.3">
      <c r="A726" s="45"/>
      <c r="B726" s="45"/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ht="13.5" customHeight="1" x14ac:dyDescent="0.3">
      <c r="A727" s="45"/>
      <c r="B727" s="45"/>
      <c r="C727" s="45"/>
      <c r="D727" s="45"/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ht="13.5" customHeight="1" x14ac:dyDescent="0.3">
      <c r="A728" s="45"/>
      <c r="B728" s="45"/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ht="13.5" customHeight="1" x14ac:dyDescent="0.3">
      <c r="A729" s="45"/>
      <c r="B729" s="45"/>
      <c r="C729" s="45"/>
      <c r="D729" s="45"/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ht="13.5" customHeight="1" x14ac:dyDescent="0.3">
      <c r="A730" s="45"/>
      <c r="B730" s="45"/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ht="13.5" customHeight="1" x14ac:dyDescent="0.3">
      <c r="A731" s="45"/>
      <c r="B731" s="45"/>
      <c r="C731" s="45"/>
      <c r="D731" s="45"/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ht="13.5" customHeight="1" x14ac:dyDescent="0.3">
      <c r="A732" s="45"/>
      <c r="B732" s="45"/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ht="13.5" customHeight="1" x14ac:dyDescent="0.3">
      <c r="A733" s="45"/>
      <c r="B733" s="45"/>
      <c r="C733" s="45"/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ht="13.5" customHeight="1" x14ac:dyDescent="0.3">
      <c r="A734" s="45"/>
      <c r="B734" s="45"/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ht="13.5" customHeight="1" x14ac:dyDescent="0.3">
      <c r="A735" s="45"/>
      <c r="B735" s="45"/>
      <c r="C735" s="45"/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ht="13.5" customHeight="1" x14ac:dyDescent="0.3">
      <c r="A736" s="45"/>
      <c r="B736" s="45"/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ht="13.5" customHeight="1" x14ac:dyDescent="0.3">
      <c r="A737" s="45"/>
      <c r="B737" s="45"/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ht="13.5" customHeight="1" x14ac:dyDescent="0.3">
      <c r="A738" s="45"/>
      <c r="B738" s="45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ht="13.5" customHeight="1" x14ac:dyDescent="0.3">
      <c r="A739" s="45"/>
      <c r="B739" s="45"/>
      <c r="C739" s="45"/>
      <c r="D739" s="45"/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ht="13.5" customHeight="1" x14ac:dyDescent="0.3">
      <c r="A740" s="45"/>
      <c r="B740" s="45"/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ht="13.5" customHeight="1" x14ac:dyDescent="0.3">
      <c r="A741" s="45"/>
      <c r="B741" s="45"/>
      <c r="C741" s="45"/>
      <c r="D741" s="45"/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ht="13.5" customHeight="1" x14ac:dyDescent="0.3">
      <c r="A742" s="45"/>
      <c r="B742" s="45"/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ht="13.5" customHeight="1" x14ac:dyDescent="0.3">
      <c r="A743" s="45"/>
      <c r="B743" s="45"/>
      <c r="C743" s="45"/>
      <c r="D743" s="45"/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ht="13.5" customHeight="1" x14ac:dyDescent="0.3">
      <c r="A744" s="45"/>
      <c r="B744" s="45"/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ht="13.5" customHeight="1" x14ac:dyDescent="0.3">
      <c r="A745" s="45"/>
      <c r="B745" s="45"/>
      <c r="C745" s="45"/>
      <c r="D745" s="45"/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ht="13.5" customHeight="1" x14ac:dyDescent="0.3">
      <c r="A746" s="45"/>
      <c r="B746" s="45"/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ht="13.5" customHeight="1" x14ac:dyDescent="0.3">
      <c r="A747" s="45"/>
      <c r="B747" s="45"/>
      <c r="C747" s="45"/>
      <c r="D747" s="45"/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ht="13.5" customHeight="1" x14ac:dyDescent="0.3">
      <c r="A748" s="45"/>
      <c r="B748" s="45"/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ht="13.5" customHeight="1" x14ac:dyDescent="0.3">
      <c r="A749" s="45"/>
      <c r="B749" s="45"/>
      <c r="C749" s="45"/>
      <c r="D749" s="45"/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ht="13.5" customHeight="1" x14ac:dyDescent="0.3">
      <c r="A750" s="45"/>
      <c r="B750" s="45"/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ht="13.5" customHeight="1" x14ac:dyDescent="0.3">
      <c r="A751" s="45"/>
      <c r="B751" s="45"/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ht="13.5" customHeight="1" x14ac:dyDescent="0.3">
      <c r="A752" s="45"/>
      <c r="B752" s="45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ht="13.5" customHeight="1" x14ac:dyDescent="0.3">
      <c r="A753" s="45"/>
      <c r="B753" s="45"/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ht="13.5" customHeight="1" x14ac:dyDescent="0.3">
      <c r="A754" s="45"/>
      <c r="B754" s="45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ht="13.5" customHeight="1" x14ac:dyDescent="0.3">
      <c r="A755" s="45"/>
      <c r="B755" s="45"/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ht="13.5" customHeight="1" x14ac:dyDescent="0.3">
      <c r="A756" s="45"/>
      <c r="B756" s="45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ht="13.5" customHeight="1" x14ac:dyDescent="0.3">
      <c r="A757" s="45"/>
      <c r="B757" s="45"/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ht="13.5" customHeight="1" x14ac:dyDescent="0.3">
      <c r="A758" s="45"/>
      <c r="B758" s="45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ht="13.5" customHeight="1" x14ac:dyDescent="0.3">
      <c r="A759" s="45"/>
      <c r="B759" s="45"/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ht="13.5" customHeight="1" x14ac:dyDescent="0.3">
      <c r="A760" s="45"/>
      <c r="B760" s="45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ht="13.5" customHeight="1" x14ac:dyDescent="0.3">
      <c r="A761" s="45"/>
      <c r="B761" s="45"/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ht="13.5" customHeight="1" x14ac:dyDescent="0.3">
      <c r="A762" s="45"/>
      <c r="B762" s="45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ht="13.5" customHeight="1" x14ac:dyDescent="0.3">
      <c r="A763" s="45"/>
      <c r="B763" s="45"/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ht="13.5" customHeight="1" x14ac:dyDescent="0.3">
      <c r="A764" s="45"/>
      <c r="B764" s="45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ht="13.5" customHeight="1" x14ac:dyDescent="0.3">
      <c r="A765" s="45"/>
      <c r="B765" s="45"/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ht="13.5" customHeight="1" x14ac:dyDescent="0.3">
      <c r="A766" s="45"/>
      <c r="B766" s="45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ht="13.5" customHeight="1" x14ac:dyDescent="0.3">
      <c r="A767" s="45"/>
      <c r="B767" s="45"/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ht="13.5" customHeight="1" x14ac:dyDescent="0.3">
      <c r="A768" s="45"/>
      <c r="B768" s="45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ht="13.5" customHeight="1" x14ac:dyDescent="0.3">
      <c r="A769" s="45"/>
      <c r="B769" s="45"/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ht="13.5" customHeight="1" x14ac:dyDescent="0.3">
      <c r="A770" s="45"/>
      <c r="B770" s="45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ht="13.5" customHeight="1" x14ac:dyDescent="0.3">
      <c r="A771" s="45"/>
      <c r="B771" s="45"/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ht="13.5" customHeight="1" x14ac:dyDescent="0.3">
      <c r="A772" s="45"/>
      <c r="B772" s="45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ht="13.5" customHeight="1" x14ac:dyDescent="0.3">
      <c r="A773" s="45"/>
      <c r="B773" s="45"/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ht="13.5" customHeight="1" x14ac:dyDescent="0.3">
      <c r="A774" s="45"/>
      <c r="B774" s="45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ht="13.5" customHeight="1" x14ac:dyDescent="0.3">
      <c r="A775" s="45"/>
      <c r="B775" s="45"/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ht="13.5" customHeight="1" x14ac:dyDescent="0.3">
      <c r="A776" s="45"/>
      <c r="B776" s="45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ht="13.5" customHeight="1" x14ac:dyDescent="0.3">
      <c r="A777" s="45"/>
      <c r="B777" s="45"/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ht="13.5" customHeight="1" x14ac:dyDescent="0.3">
      <c r="A778" s="45"/>
      <c r="B778" s="45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ht="13.5" customHeight="1" x14ac:dyDescent="0.3">
      <c r="A779" s="45"/>
      <c r="B779" s="45"/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ht="13.5" customHeight="1" x14ac:dyDescent="0.3">
      <c r="A780" s="45"/>
      <c r="B780" s="45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ht="13.5" customHeight="1" x14ac:dyDescent="0.3">
      <c r="A781" s="45"/>
      <c r="B781" s="45"/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ht="13.5" customHeight="1" x14ac:dyDescent="0.3">
      <c r="A782" s="45"/>
      <c r="B782" s="45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ht="13.5" customHeight="1" x14ac:dyDescent="0.3">
      <c r="A783" s="45"/>
      <c r="B783" s="45"/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ht="13.5" customHeight="1" x14ac:dyDescent="0.3">
      <c r="A784" s="45"/>
      <c r="B784" s="45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ht="13.5" customHeight="1" x14ac:dyDescent="0.3">
      <c r="A785" s="45"/>
      <c r="B785" s="45"/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ht="13.5" customHeight="1" x14ac:dyDescent="0.3">
      <c r="A786" s="45"/>
      <c r="B786" s="45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ht="13.5" customHeight="1" x14ac:dyDescent="0.3">
      <c r="A787" s="45"/>
      <c r="B787" s="45"/>
      <c r="C787" s="45"/>
      <c r="D787" s="45"/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ht="13.5" customHeight="1" x14ac:dyDescent="0.3">
      <c r="A788" s="45"/>
      <c r="B788" s="45"/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ht="13.5" customHeight="1" x14ac:dyDescent="0.3">
      <c r="A789" s="45"/>
      <c r="B789" s="45"/>
      <c r="C789" s="45"/>
      <c r="D789" s="45"/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ht="13.5" customHeight="1" x14ac:dyDescent="0.3">
      <c r="A790" s="45"/>
      <c r="B790" s="45"/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ht="13.5" customHeight="1" x14ac:dyDescent="0.3">
      <c r="A791" s="45"/>
      <c r="B791" s="45"/>
      <c r="C791" s="45"/>
      <c r="D791" s="45"/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ht="13.5" customHeight="1" x14ac:dyDescent="0.3">
      <c r="A792" s="45"/>
      <c r="B792" s="45"/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ht="13.5" customHeight="1" x14ac:dyDescent="0.3">
      <c r="A793" s="45"/>
      <c r="B793" s="45"/>
      <c r="C793" s="45"/>
      <c r="D793" s="45"/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ht="13.5" customHeight="1" x14ac:dyDescent="0.3">
      <c r="A794" s="45"/>
      <c r="B794" s="45"/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ht="13.5" customHeight="1" x14ac:dyDescent="0.3">
      <c r="A795" s="45"/>
      <c r="B795" s="45"/>
      <c r="C795" s="45"/>
      <c r="D795" s="45"/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ht="13.5" customHeight="1" x14ac:dyDescent="0.3">
      <c r="A796" s="45"/>
      <c r="B796" s="45"/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ht="13.5" customHeight="1" x14ac:dyDescent="0.3">
      <c r="A797" s="45"/>
      <c r="B797" s="45"/>
      <c r="C797" s="45"/>
      <c r="D797" s="45"/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ht="13.5" customHeight="1" x14ac:dyDescent="0.3">
      <c r="A798" s="45"/>
      <c r="B798" s="45"/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ht="13.5" customHeight="1" x14ac:dyDescent="0.3">
      <c r="A799" s="45"/>
      <c r="B799" s="45"/>
      <c r="C799" s="45"/>
      <c r="D799" s="45"/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ht="13.5" customHeight="1" x14ac:dyDescent="0.3">
      <c r="A800" s="45"/>
      <c r="B800" s="45"/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ht="13.5" customHeight="1" x14ac:dyDescent="0.3">
      <c r="A801" s="45"/>
      <c r="B801" s="45"/>
      <c r="C801" s="45"/>
      <c r="D801" s="45"/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ht="13.5" customHeight="1" x14ac:dyDescent="0.3">
      <c r="A802" s="45"/>
      <c r="B802" s="45"/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ht="13.5" customHeight="1" x14ac:dyDescent="0.3">
      <c r="A803" s="45"/>
      <c r="B803" s="45"/>
      <c r="C803" s="45"/>
      <c r="D803" s="45"/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ht="13.5" customHeight="1" x14ac:dyDescent="0.3">
      <c r="A804" s="45"/>
      <c r="B804" s="45"/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ht="13.5" customHeight="1" x14ac:dyDescent="0.3">
      <c r="A805" s="45"/>
      <c r="B805" s="45"/>
      <c r="C805" s="45"/>
      <c r="D805" s="45"/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ht="13.5" customHeight="1" x14ac:dyDescent="0.3">
      <c r="A806" s="45"/>
      <c r="B806" s="45"/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ht="13.5" customHeight="1" x14ac:dyDescent="0.3">
      <c r="A807" s="45"/>
      <c r="B807" s="45"/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ht="13.5" customHeight="1" x14ac:dyDescent="0.3">
      <c r="A808" s="45"/>
      <c r="B808" s="45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ht="13.5" customHeight="1" x14ac:dyDescent="0.3">
      <c r="A809" s="45"/>
      <c r="B809" s="45"/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ht="13.5" customHeight="1" x14ac:dyDescent="0.3">
      <c r="A810" s="45"/>
      <c r="B810" s="45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ht="13.5" customHeight="1" x14ac:dyDescent="0.3">
      <c r="A811" s="45"/>
      <c r="B811" s="45"/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ht="13.5" customHeight="1" x14ac:dyDescent="0.3">
      <c r="A812" s="45"/>
      <c r="B812" s="45"/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ht="13.5" customHeight="1" x14ac:dyDescent="0.3">
      <c r="A813" s="45"/>
      <c r="B813" s="45"/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ht="13.5" customHeight="1" x14ac:dyDescent="0.3">
      <c r="A814" s="45"/>
      <c r="B814" s="45"/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ht="13.5" customHeight="1" x14ac:dyDescent="0.3">
      <c r="A815" s="45"/>
      <c r="B815" s="45"/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ht="13.5" customHeight="1" x14ac:dyDescent="0.3">
      <c r="A816" s="45"/>
      <c r="B816" s="45"/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ht="13.5" customHeight="1" x14ac:dyDescent="0.3">
      <c r="A817" s="45"/>
      <c r="B817" s="45"/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ht="13.5" customHeight="1" x14ac:dyDescent="0.3">
      <c r="A818" s="45"/>
      <c r="B818" s="45"/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ht="13.5" customHeight="1" x14ac:dyDescent="0.3">
      <c r="A819" s="45"/>
      <c r="B819" s="45"/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ht="13.5" customHeight="1" x14ac:dyDescent="0.3">
      <c r="A820" s="45"/>
      <c r="B820" s="45"/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ht="13.5" customHeight="1" x14ac:dyDescent="0.3">
      <c r="A821" s="45"/>
      <c r="B821" s="45"/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ht="13.5" customHeight="1" x14ac:dyDescent="0.3">
      <c r="A822" s="45"/>
      <c r="B822" s="45"/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ht="13.5" customHeight="1" x14ac:dyDescent="0.3">
      <c r="A823" s="45"/>
      <c r="B823" s="45"/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ht="13.5" customHeight="1" x14ac:dyDescent="0.3">
      <c r="A824" s="45"/>
      <c r="B824" s="45"/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ht="13.5" customHeight="1" x14ac:dyDescent="0.3">
      <c r="A825" s="45"/>
      <c r="B825" s="45"/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ht="13.5" customHeight="1" x14ac:dyDescent="0.3">
      <c r="A826" s="45"/>
      <c r="B826" s="45"/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ht="13.5" customHeight="1" x14ac:dyDescent="0.3">
      <c r="A827" s="45"/>
      <c r="B827" s="45"/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ht="13.5" customHeight="1" x14ac:dyDescent="0.3">
      <c r="A828" s="45"/>
      <c r="B828" s="45"/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ht="13.5" customHeight="1" x14ac:dyDescent="0.3">
      <c r="A829" s="45"/>
      <c r="B829" s="45"/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ht="13.5" customHeight="1" x14ac:dyDescent="0.3">
      <c r="A830" s="45"/>
      <c r="B830" s="45"/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ht="13.5" customHeight="1" x14ac:dyDescent="0.3">
      <c r="A831" s="45"/>
      <c r="B831" s="45"/>
      <c r="C831" s="45"/>
      <c r="D831" s="45"/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ht="13.5" customHeight="1" x14ac:dyDescent="0.3">
      <c r="A832" s="45"/>
      <c r="B832" s="45"/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ht="13.5" customHeight="1" x14ac:dyDescent="0.3">
      <c r="A833" s="45"/>
      <c r="B833" s="45"/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ht="13.5" customHeight="1" x14ac:dyDescent="0.3">
      <c r="A834" s="45"/>
      <c r="B834" s="45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ht="13.5" customHeight="1" x14ac:dyDescent="0.3">
      <c r="A835" s="45"/>
      <c r="B835" s="45"/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ht="13.5" customHeight="1" x14ac:dyDescent="0.3">
      <c r="A836" s="45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ht="13.5" customHeight="1" x14ac:dyDescent="0.3">
      <c r="A837" s="45"/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ht="13.5" customHeight="1" x14ac:dyDescent="0.3">
      <c r="A838" s="45"/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ht="13.5" customHeight="1" x14ac:dyDescent="0.3">
      <c r="A839" s="45"/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ht="13.5" customHeight="1" x14ac:dyDescent="0.3">
      <c r="A840" s="45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ht="13.5" customHeight="1" x14ac:dyDescent="0.3">
      <c r="A841" s="45"/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ht="13.5" customHeight="1" x14ac:dyDescent="0.3">
      <c r="A842" s="45"/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ht="13.5" customHeight="1" x14ac:dyDescent="0.3">
      <c r="A843" s="45"/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ht="13.5" customHeight="1" x14ac:dyDescent="0.3">
      <c r="A844" s="45"/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ht="13.5" customHeight="1" x14ac:dyDescent="0.3">
      <c r="A845" s="45"/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ht="13.5" customHeight="1" x14ac:dyDescent="0.3">
      <c r="A846" s="45"/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ht="13.5" customHeight="1" x14ac:dyDescent="0.3">
      <c r="A847" s="45"/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ht="13.5" customHeight="1" x14ac:dyDescent="0.3">
      <c r="A848" s="45"/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ht="13.5" customHeight="1" x14ac:dyDescent="0.3">
      <c r="A849" s="45"/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ht="13.5" customHeight="1" x14ac:dyDescent="0.3">
      <c r="A850" s="45"/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ht="13.5" customHeight="1" x14ac:dyDescent="0.3">
      <c r="A851" s="45"/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ht="13.5" customHeight="1" x14ac:dyDescent="0.3">
      <c r="A852" s="45"/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ht="13.5" customHeight="1" x14ac:dyDescent="0.3">
      <c r="A853" s="45"/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ht="13.5" customHeight="1" x14ac:dyDescent="0.3">
      <c r="A854" s="45"/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ht="13.5" customHeight="1" x14ac:dyDescent="0.3">
      <c r="A855" s="45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ht="13.5" customHeight="1" x14ac:dyDescent="0.3">
      <c r="A856" s="45"/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ht="13.5" customHeight="1" x14ac:dyDescent="0.3">
      <c r="A857" s="45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ht="13.5" customHeight="1" x14ac:dyDescent="0.3">
      <c r="A858" s="45"/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ht="13.5" customHeight="1" x14ac:dyDescent="0.3">
      <c r="A859" s="45"/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ht="13.5" customHeight="1" x14ac:dyDescent="0.3">
      <c r="A860" s="45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ht="13.5" customHeight="1" x14ac:dyDescent="0.3">
      <c r="A861" s="45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ht="13.5" customHeight="1" x14ac:dyDescent="0.3">
      <c r="A862" s="45"/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ht="13.5" customHeight="1" x14ac:dyDescent="0.3">
      <c r="A863" s="45"/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ht="13.5" customHeight="1" x14ac:dyDescent="0.3">
      <c r="A864" s="45"/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ht="13.5" customHeight="1" x14ac:dyDescent="0.3">
      <c r="A865" s="45"/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ht="13.5" customHeight="1" x14ac:dyDescent="0.3">
      <c r="A866" s="45"/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ht="13.5" customHeight="1" x14ac:dyDescent="0.3">
      <c r="A867" s="45"/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ht="13.5" customHeight="1" x14ac:dyDescent="0.3">
      <c r="A868" s="45"/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ht="13.5" customHeight="1" x14ac:dyDescent="0.3">
      <c r="A869" s="45"/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ht="13.5" customHeight="1" x14ac:dyDescent="0.3">
      <c r="A870" s="45"/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ht="13.5" customHeight="1" x14ac:dyDescent="0.3">
      <c r="A871" s="45"/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ht="13.5" customHeight="1" x14ac:dyDescent="0.3">
      <c r="A872" s="45"/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ht="13.5" customHeight="1" x14ac:dyDescent="0.3">
      <c r="A873" s="45"/>
      <c r="B873" s="45"/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ht="13.5" customHeight="1" x14ac:dyDescent="0.3">
      <c r="A874" s="45"/>
      <c r="B874" s="45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ht="13.5" customHeight="1" x14ac:dyDescent="0.3">
      <c r="A875" s="45"/>
      <c r="B875" s="45"/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ht="13.5" customHeight="1" x14ac:dyDescent="0.3">
      <c r="A876" s="45"/>
      <c r="B876" s="45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ht="13.5" customHeight="1" x14ac:dyDescent="0.3">
      <c r="A877" s="45"/>
      <c r="B877" s="45"/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ht="13.5" customHeight="1" x14ac:dyDescent="0.3">
      <c r="A878" s="45"/>
      <c r="B878" s="45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ht="13.5" customHeight="1" x14ac:dyDescent="0.3">
      <c r="A879" s="45"/>
      <c r="B879" s="45"/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ht="13.5" customHeight="1" x14ac:dyDescent="0.3">
      <c r="A880" s="45"/>
      <c r="B880" s="45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ht="13.5" customHeight="1" x14ac:dyDescent="0.3">
      <c r="A881" s="45"/>
      <c r="B881" s="45"/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ht="13.5" customHeight="1" x14ac:dyDescent="0.3">
      <c r="A882" s="45"/>
      <c r="B882" s="45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ht="13.5" customHeight="1" x14ac:dyDescent="0.3">
      <c r="A883" s="45"/>
      <c r="B883" s="45"/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ht="13.5" customHeight="1" x14ac:dyDescent="0.3">
      <c r="A884" s="45"/>
      <c r="B884" s="45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ht="13.5" customHeight="1" x14ac:dyDescent="0.3">
      <c r="A885" s="45"/>
      <c r="B885" s="45"/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ht="13.5" customHeight="1" x14ac:dyDescent="0.3">
      <c r="A886" s="45"/>
      <c r="B886" s="45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ht="13.5" customHeight="1" x14ac:dyDescent="0.3">
      <c r="A887" s="45"/>
      <c r="B887" s="45"/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ht="13.5" customHeight="1" x14ac:dyDescent="0.3">
      <c r="A888" s="45"/>
      <c r="B888" s="45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ht="13.5" customHeight="1" x14ac:dyDescent="0.3">
      <c r="A889" s="45"/>
      <c r="B889" s="45"/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ht="13.5" customHeight="1" x14ac:dyDescent="0.3">
      <c r="A890" s="45"/>
      <c r="B890" s="45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ht="13.5" customHeight="1" x14ac:dyDescent="0.3">
      <c r="A891" s="45"/>
      <c r="B891" s="45"/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ht="13.5" customHeight="1" x14ac:dyDescent="0.3">
      <c r="A892" s="45"/>
      <c r="B892" s="45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ht="13.5" customHeight="1" x14ac:dyDescent="0.3">
      <c r="A893" s="45"/>
      <c r="B893" s="45"/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ht="13.5" customHeight="1" x14ac:dyDescent="0.3">
      <c r="A894" s="45"/>
      <c r="B894" s="45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ht="13.5" customHeight="1" x14ac:dyDescent="0.3">
      <c r="A895" s="45"/>
      <c r="B895" s="45"/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ht="13.5" customHeight="1" x14ac:dyDescent="0.3">
      <c r="A896" s="45"/>
      <c r="B896" s="45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ht="13.5" customHeight="1" x14ac:dyDescent="0.3">
      <c r="A897" s="45"/>
      <c r="B897" s="45"/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ht="13.5" customHeight="1" x14ac:dyDescent="0.3">
      <c r="A898" s="45"/>
      <c r="B898" s="45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ht="13.5" customHeight="1" x14ac:dyDescent="0.3">
      <c r="A899" s="45"/>
      <c r="B899" s="45"/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ht="13.5" customHeight="1" x14ac:dyDescent="0.3">
      <c r="A900" s="45"/>
      <c r="B900" s="45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ht="13.5" customHeight="1" x14ac:dyDescent="0.3">
      <c r="A901" s="45"/>
      <c r="B901" s="45"/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ht="13.5" customHeight="1" x14ac:dyDescent="0.3">
      <c r="A902" s="45"/>
      <c r="B902" s="45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ht="13.5" customHeight="1" x14ac:dyDescent="0.3">
      <c r="A903" s="45"/>
      <c r="B903" s="45"/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ht="13.5" customHeight="1" x14ac:dyDescent="0.3">
      <c r="A904" s="45"/>
      <c r="B904" s="45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ht="13.5" customHeight="1" x14ac:dyDescent="0.3">
      <c r="A905" s="45"/>
      <c r="B905" s="45"/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ht="13.5" customHeight="1" x14ac:dyDescent="0.3">
      <c r="A906" s="45"/>
      <c r="B906" s="45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ht="13.5" customHeight="1" x14ac:dyDescent="0.3">
      <c r="A907" s="45"/>
      <c r="B907" s="45"/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ht="13.5" customHeight="1" x14ac:dyDescent="0.3">
      <c r="A908" s="45"/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ht="13.5" customHeight="1" x14ac:dyDescent="0.3">
      <c r="A909" s="45"/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ht="13.5" customHeight="1" x14ac:dyDescent="0.3">
      <c r="A910" s="45"/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ht="13.5" customHeight="1" x14ac:dyDescent="0.3">
      <c r="A911" s="45"/>
      <c r="B911" s="45"/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ht="13.5" customHeight="1" x14ac:dyDescent="0.3">
      <c r="A912" s="45"/>
      <c r="B912" s="45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ht="13.5" customHeight="1" x14ac:dyDescent="0.3">
      <c r="A913" s="45"/>
      <c r="B913" s="45"/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ht="13.5" customHeight="1" x14ac:dyDescent="0.3">
      <c r="A914" s="45"/>
      <c r="B914" s="45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ht="13.5" customHeight="1" x14ac:dyDescent="0.3">
      <c r="A915" s="45"/>
      <c r="B915" s="45"/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ht="13.5" customHeight="1" x14ac:dyDescent="0.3">
      <c r="A916" s="45"/>
      <c r="B916" s="45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ht="13.5" customHeight="1" x14ac:dyDescent="0.3">
      <c r="A917" s="45"/>
      <c r="B917" s="45"/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ht="13.5" customHeight="1" x14ac:dyDescent="0.3">
      <c r="A918" s="45"/>
      <c r="B918" s="45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ht="13.5" customHeight="1" x14ac:dyDescent="0.3">
      <c r="A919" s="45"/>
      <c r="B919" s="45"/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ht="13.5" customHeight="1" x14ac:dyDescent="0.3">
      <c r="A920" s="45"/>
      <c r="B920" s="45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ht="13.5" customHeight="1" x14ac:dyDescent="0.3">
      <c r="A921" s="45"/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ht="13.5" customHeight="1" x14ac:dyDescent="0.3">
      <c r="A922" s="45"/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ht="13.5" customHeight="1" x14ac:dyDescent="0.3">
      <c r="A923" s="45"/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ht="13.5" customHeight="1" x14ac:dyDescent="0.3">
      <c r="A924" s="45"/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ht="13.5" customHeight="1" x14ac:dyDescent="0.3">
      <c r="A925" s="45"/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ht="13.5" customHeight="1" x14ac:dyDescent="0.3">
      <c r="A926" s="45"/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ht="13.5" customHeight="1" x14ac:dyDescent="0.3">
      <c r="A927" s="45"/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ht="13.5" customHeight="1" x14ac:dyDescent="0.3">
      <c r="A928" s="45"/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ht="13.5" customHeight="1" x14ac:dyDescent="0.3">
      <c r="A929" s="45"/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ht="13.5" customHeight="1" x14ac:dyDescent="0.3">
      <c r="A930" s="45"/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ht="13.5" customHeight="1" x14ac:dyDescent="0.3">
      <c r="A931" s="45"/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ht="13.5" customHeight="1" x14ac:dyDescent="0.3">
      <c r="A932" s="45"/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ht="13.5" customHeight="1" x14ac:dyDescent="0.3">
      <c r="A933" s="45"/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ht="13.5" customHeight="1" x14ac:dyDescent="0.3">
      <c r="A934" s="45"/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ht="13.5" customHeight="1" x14ac:dyDescent="0.3">
      <c r="A935" s="45"/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ht="13.5" customHeight="1" x14ac:dyDescent="0.3">
      <c r="A936" s="45"/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ht="13.5" customHeight="1" x14ac:dyDescent="0.3">
      <c r="A937" s="45"/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ht="13.5" customHeight="1" x14ac:dyDescent="0.3">
      <c r="A938" s="45"/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ht="13.5" customHeight="1" x14ac:dyDescent="0.3">
      <c r="A939" s="45"/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ht="13.5" customHeight="1" x14ac:dyDescent="0.3">
      <c r="A940" s="45"/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ht="13.5" customHeight="1" x14ac:dyDescent="0.3">
      <c r="A941" s="45"/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ht="13.5" customHeight="1" x14ac:dyDescent="0.3">
      <c r="A942" s="45"/>
      <c r="B942" s="45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ht="13.5" customHeight="1" x14ac:dyDescent="0.3">
      <c r="A943" s="45"/>
      <c r="B943" s="45"/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ht="13.5" customHeight="1" x14ac:dyDescent="0.3">
      <c r="A944" s="45"/>
      <c r="B944" s="45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ht="13.5" customHeight="1" x14ac:dyDescent="0.3">
      <c r="A945" s="45"/>
      <c r="B945" s="45"/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ht="13.5" customHeight="1" x14ac:dyDescent="0.3">
      <c r="A946" s="45"/>
      <c r="B946" s="45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ht="13.5" customHeight="1" x14ac:dyDescent="0.3">
      <c r="A947" s="45"/>
      <c r="B947" s="45"/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ht="13.5" customHeight="1" x14ac:dyDescent="0.3">
      <c r="A948" s="45"/>
      <c r="B948" s="45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ht="13.5" customHeight="1" x14ac:dyDescent="0.3">
      <c r="A949" s="45"/>
      <c r="B949" s="45"/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ht="13.5" customHeight="1" x14ac:dyDescent="0.3">
      <c r="A950" s="45"/>
      <c r="B950" s="45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ht="13.5" customHeight="1" x14ac:dyDescent="0.3">
      <c r="A951" s="45"/>
      <c r="B951" s="45"/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ht="13.5" customHeight="1" x14ac:dyDescent="0.3">
      <c r="A952" s="45"/>
      <c r="B952" s="45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ht="13.5" customHeight="1" x14ac:dyDescent="0.3">
      <c r="A953" s="45"/>
      <c r="B953" s="45"/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ht="13.5" customHeight="1" x14ac:dyDescent="0.3">
      <c r="A954" s="45"/>
      <c r="B954" s="45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ht="13.5" customHeight="1" x14ac:dyDescent="0.3">
      <c r="A955" s="45"/>
      <c r="B955" s="45"/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ht="13.5" customHeight="1" x14ac:dyDescent="0.3">
      <c r="A956" s="45"/>
      <c r="B956" s="45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ht="13.5" customHeight="1" x14ac:dyDescent="0.3">
      <c r="A957" s="45"/>
      <c r="B957" s="45"/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ht="13.5" customHeight="1" x14ac:dyDescent="0.3">
      <c r="A958" s="45"/>
      <c r="B958" s="45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ht="13.5" customHeight="1" x14ac:dyDescent="0.3">
      <c r="A959" s="45"/>
      <c r="B959" s="45"/>
      <c r="C959" s="45"/>
      <c r="D959" s="45"/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ht="13.5" customHeight="1" x14ac:dyDescent="0.3">
      <c r="A960" s="45"/>
      <c r="B960" s="45"/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ht="13.5" customHeight="1" x14ac:dyDescent="0.3">
      <c r="A961" s="45"/>
      <c r="B961" s="45"/>
      <c r="C961" s="45"/>
      <c r="D961" s="45"/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ht="13.5" customHeight="1" x14ac:dyDescent="0.3">
      <c r="A962" s="45"/>
      <c r="B962" s="45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ht="13.5" customHeight="1" x14ac:dyDescent="0.3">
      <c r="A963" s="45"/>
      <c r="B963" s="45"/>
      <c r="C963" s="45"/>
      <c r="D963" s="45"/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ht="13.5" customHeight="1" x14ac:dyDescent="0.3">
      <c r="A964" s="45"/>
      <c r="B964" s="45"/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ht="13.5" customHeight="1" x14ac:dyDescent="0.3">
      <c r="A965" s="45"/>
      <c r="B965" s="45"/>
      <c r="C965" s="45"/>
      <c r="D965" s="45"/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ht="13.5" customHeight="1" x14ac:dyDescent="0.3">
      <c r="A966" s="45"/>
      <c r="B966" s="45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ht="13.5" customHeight="1" x14ac:dyDescent="0.3">
      <c r="A967" s="45"/>
      <c r="B967" s="45"/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ht="13.5" customHeight="1" x14ac:dyDescent="0.3">
      <c r="A968" s="45"/>
      <c r="B968" s="45"/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ht="13.5" customHeight="1" x14ac:dyDescent="0.3">
      <c r="A969" s="45"/>
      <c r="B969" s="45"/>
      <c r="C969" s="45"/>
      <c r="D969" s="45"/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ht="13.5" customHeight="1" x14ac:dyDescent="0.3">
      <c r="A970" s="45"/>
      <c r="B970" s="45"/>
      <c r="C970" s="45"/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ht="13.5" customHeight="1" x14ac:dyDescent="0.3">
      <c r="A971" s="45"/>
      <c r="B971" s="45"/>
      <c r="C971" s="45"/>
      <c r="D971" s="45"/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ht="13.5" customHeight="1" x14ac:dyDescent="0.3">
      <c r="A972" s="45"/>
      <c r="B972" s="45"/>
      <c r="C972" s="45"/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ht="13.5" customHeight="1" x14ac:dyDescent="0.3">
      <c r="A973" s="45"/>
      <c r="B973" s="45"/>
      <c r="C973" s="45"/>
      <c r="D973" s="45"/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ht="13.5" customHeight="1" x14ac:dyDescent="0.3">
      <c r="A974" s="45"/>
      <c r="B974" s="45"/>
      <c r="C974" s="45"/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ht="13.5" customHeight="1" x14ac:dyDescent="0.3">
      <c r="A975" s="45"/>
      <c r="B975" s="45"/>
      <c r="C975" s="45"/>
      <c r="D975" s="45"/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ht="13.5" customHeight="1" x14ac:dyDescent="0.3">
      <c r="A976" s="45"/>
      <c r="B976" s="45"/>
      <c r="C976" s="45"/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ht="13.5" customHeight="1" x14ac:dyDescent="0.3">
      <c r="A977" s="45"/>
      <c r="B977" s="45"/>
      <c r="C977" s="45"/>
      <c r="D977" s="45"/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ht="13.5" customHeight="1" x14ac:dyDescent="0.3">
      <c r="A978" s="45"/>
      <c r="B978" s="45"/>
      <c r="C978" s="45"/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ht="13.5" customHeight="1" x14ac:dyDescent="0.3">
      <c r="A979" s="45"/>
      <c r="B979" s="45"/>
      <c r="C979" s="45"/>
      <c r="D979" s="45"/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ht="13.5" customHeight="1" x14ac:dyDescent="0.3">
      <c r="A980" s="45"/>
      <c r="B980" s="45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ht="13.5" customHeight="1" x14ac:dyDescent="0.3">
      <c r="A981" s="45"/>
      <c r="B981" s="45"/>
      <c r="C981" s="45"/>
      <c r="D981" s="45"/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ht="13.5" customHeight="1" x14ac:dyDescent="0.3">
      <c r="A982" s="45"/>
      <c r="B982" s="45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ht="13.5" customHeight="1" x14ac:dyDescent="0.3">
      <c r="A983" s="45"/>
      <c r="B983" s="45"/>
      <c r="C983" s="45"/>
      <c r="D983" s="45"/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ht="13.5" customHeight="1" x14ac:dyDescent="0.3">
      <c r="A984" s="45"/>
      <c r="B984" s="45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ht="13.5" customHeight="1" x14ac:dyDescent="0.3">
      <c r="A985" s="45"/>
      <c r="B985" s="45"/>
      <c r="C985" s="45"/>
      <c r="D985" s="45"/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ht="13.5" customHeight="1" x14ac:dyDescent="0.3">
      <c r="A986" s="45"/>
      <c r="B986" s="45"/>
      <c r="C986" s="45"/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ht="13.5" customHeight="1" x14ac:dyDescent="0.3">
      <c r="A987" s="45"/>
      <c r="B987" s="45"/>
      <c r="C987" s="45"/>
      <c r="D987" s="45"/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ht="13.5" customHeight="1" x14ac:dyDescent="0.3">
      <c r="A988" s="45"/>
      <c r="B988" s="45"/>
      <c r="C988" s="45"/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ht="13.5" customHeight="1" x14ac:dyDescent="0.3">
      <c r="A989" s="45"/>
      <c r="B989" s="45"/>
      <c r="C989" s="45"/>
      <c r="D989" s="45"/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ht="13.5" customHeight="1" x14ac:dyDescent="0.3">
      <c r="A990" s="45"/>
      <c r="B990" s="45"/>
      <c r="C990" s="45"/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ht="13.5" customHeight="1" x14ac:dyDescent="0.3">
      <c r="A991" s="45"/>
      <c r="B991" s="45"/>
      <c r="C991" s="45"/>
      <c r="D991" s="45"/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ht="13.5" customHeight="1" x14ac:dyDescent="0.3">
      <c r="A992" s="45"/>
      <c r="B992" s="45"/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ht="13.5" customHeight="1" x14ac:dyDescent="0.3">
      <c r="A993" s="45"/>
      <c r="B993" s="45"/>
      <c r="C993" s="45"/>
      <c r="D993" s="45"/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ht="13.5" customHeight="1" x14ac:dyDescent="0.3">
      <c r="A994" s="45"/>
      <c r="B994" s="45"/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ht="13.5" customHeight="1" x14ac:dyDescent="0.3">
      <c r="A995" s="45"/>
      <c r="B995" s="45"/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ht="13.5" customHeight="1" x14ac:dyDescent="0.3">
      <c r="A996" s="45"/>
      <c r="B996" s="45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spans="1:26" ht="13.5" customHeight="1" x14ac:dyDescent="0.3">
      <c r="A997" s="45"/>
      <c r="B997" s="45"/>
      <c r="C997" s="45"/>
      <c r="D997" s="45"/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spans="1:26" ht="13.5" customHeight="1" x14ac:dyDescent="0.3">
      <c r="A998" s="45"/>
      <c r="B998" s="45"/>
      <c r="C998" s="45"/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spans="1:26" ht="13.5" customHeight="1" x14ac:dyDescent="0.3">
      <c r="A999" s="45"/>
      <c r="B999" s="45"/>
      <c r="C999" s="45"/>
      <c r="D999" s="45"/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  <row r="1000" spans="1:26" ht="13.5" customHeight="1" x14ac:dyDescent="0.3">
      <c r="A1000" s="45"/>
      <c r="B1000" s="45"/>
      <c r="C1000" s="45"/>
      <c r="D1000" s="45"/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</row>
    <row r="1001" spans="1:26" ht="13.5" customHeight="1" x14ac:dyDescent="0.3">
      <c r="A1001" s="45"/>
      <c r="B1001" s="45"/>
      <c r="C1001" s="45"/>
      <c r="D1001" s="45"/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</row>
    <row r="1002" spans="1:26" ht="13.5" customHeight="1" x14ac:dyDescent="0.3">
      <c r="A1002" s="45"/>
      <c r="B1002" s="45"/>
      <c r="C1002" s="45"/>
      <c r="D1002" s="45"/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</row>
    <row r="1003" spans="1:26" ht="13.5" customHeight="1" x14ac:dyDescent="0.3">
      <c r="A1003" s="45"/>
      <c r="B1003" s="45"/>
      <c r="C1003" s="45"/>
      <c r="D1003" s="45"/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</row>
    <row r="1004" spans="1:26" ht="13.5" customHeight="1" x14ac:dyDescent="0.3">
      <c r="A1004" s="45"/>
      <c r="B1004" s="45"/>
      <c r="C1004" s="45"/>
      <c r="D1004" s="45"/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</row>
    <row r="1005" spans="1:26" ht="13.5" customHeight="1" x14ac:dyDescent="0.3">
      <c r="A1005" s="45"/>
      <c r="B1005" s="45"/>
      <c r="C1005" s="45"/>
      <c r="D1005" s="45"/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</row>
    <row r="1006" spans="1:26" ht="13.5" customHeight="1" x14ac:dyDescent="0.3">
      <c r="A1006" s="45"/>
      <c r="B1006" s="45"/>
      <c r="C1006" s="45"/>
      <c r="D1006" s="45"/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</row>
    <row r="1007" spans="1:26" ht="13.5" customHeight="1" x14ac:dyDescent="0.3">
      <c r="A1007" s="45"/>
      <c r="B1007" s="45"/>
      <c r="C1007" s="45"/>
      <c r="D1007" s="45"/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</row>
    <row r="1008" spans="1:26" ht="13.5" customHeight="1" x14ac:dyDescent="0.3">
      <c r="A1008" s="45"/>
      <c r="B1008" s="45"/>
      <c r="C1008" s="45"/>
      <c r="D1008" s="45"/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</row>
    <row r="1009" spans="1:26" ht="13.5" customHeight="1" x14ac:dyDescent="0.3">
      <c r="A1009" s="45"/>
      <c r="B1009" s="45"/>
      <c r="C1009" s="45"/>
      <c r="D1009" s="45"/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</row>
    <row r="1010" spans="1:26" ht="13.5" customHeight="1" x14ac:dyDescent="0.3">
      <c r="A1010" s="45"/>
      <c r="B1010" s="45"/>
      <c r="C1010" s="45"/>
      <c r="D1010" s="45"/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</row>
    <row r="1011" spans="1:26" ht="13.5" customHeight="1" x14ac:dyDescent="0.3">
      <c r="A1011" s="45"/>
      <c r="B1011" s="45"/>
      <c r="C1011" s="45"/>
      <c r="D1011" s="45"/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</row>
    <row r="1012" spans="1:26" ht="13.5" customHeight="1" x14ac:dyDescent="0.3">
      <c r="A1012" s="45"/>
      <c r="B1012" s="45"/>
      <c r="C1012" s="45"/>
      <c r="D1012" s="45"/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</row>
  </sheetData>
  <hyperlinks>
    <hyperlink ref="B70" r:id="rId1"/>
    <hyperlink ref="B71" r:id="rId2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Elsa Joy N. Apales-Aguipo</cp:lastModifiedBy>
  <dcterms:created xsi:type="dcterms:W3CDTF">2018-04-04T01:42:34Z</dcterms:created>
  <dcterms:modified xsi:type="dcterms:W3CDTF">2018-07-20T06:01:09Z</dcterms:modified>
</cp:coreProperties>
</file>