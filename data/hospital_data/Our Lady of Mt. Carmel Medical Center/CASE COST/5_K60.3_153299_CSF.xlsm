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Supplies_Medical'!$C$15:$C$58</definedName>
    <definedName name="Drugs">'1.2 Drugs&amp;Med'!$C$11:$C$25</definedName>
    <definedName name="_xlnm.Print_Area" localSheetId="0">'1.1 Case data_general'!$B$2:$F$92</definedName>
    <definedName name="_xlnm.Print_Area" localSheetId="1">'1.2 Drugs&amp;Med'!$B$2:$J$37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1" i="2"/>
  <c r="J12" i="2" l="1"/>
  <c r="J13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92" i="1"/>
  <c r="E92" i="1"/>
  <c r="D9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<sst xmlns="http://schemas.openxmlformats.org/spreadsheetml/2006/main" count="479" uniqueCount="183">
  <si>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</si>
  <si>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</si>
  <si>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</si>
  <si>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</si>
  <si>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</si>
  <si>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</si>
  <si>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</si>
  <si>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</si>
  <si>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</si>
  <si>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</si>
  <si>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</si>
  <si>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</si>
  <si>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</si>
  <si>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</si>
  <si>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</si>
  <si>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</si>
  <si>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</si>
  <si>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</si>
  <si>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</si>
  <si>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</si>
  <si>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</si>
  <si>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</si>
  <si>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</si>
  <si>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</si>
  <si>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</si>
  <si>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</si>
  <si>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</si>
  <si>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</si>
  <si>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</si>
  <si>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</si>
  <si>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</si>
  <si>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</si>
  <si>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</si>
  <si>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</si>
  <si>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</si>
  <si>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</si>
  <si>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</si>
  <si>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</si>
  <si>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</si>
  <si>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</si>
  <si>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</si>
  <si>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</si>
  <si>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</si>
  <si>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</si>
  <si>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</si>
  <si>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</si>
  <si>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</si>
  <si>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</si>
  <si>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</si>
  <si>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</si>
  <si>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</si>
  <si>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</si>
  <si>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</si>
  <si>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</si>
  <si>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</si>
  <si>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</si>
  <si>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</si>
  <si>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</si>
  <si>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</si>
  <si>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</si>
  <si>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</si>
  <si>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</si>
  <si>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</si>
  <si>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</si>
  <si>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</si>
  <si>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</si>
  <si>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</si>
  <si>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</si>
  <si>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</si>
  <si>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</si>
  <si>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</si>
  <si>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</si>
  <si>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</si>
  <si>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</si>
  <si>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</si>
  <si>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</si>
  <si>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</si>
  <si>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</si>
  <si>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</si>
  <si>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</si>
  <si>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</si>
  <si>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</si>
  <si>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</si>
  <si>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</si>
  <si>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</si>
  <si>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</si>
  <si>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</si>
  <si>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</si>
  <si>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</si>
  <si>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</si>
  <si>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</si>
  <si>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</si>
  <si>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</si>
  <si>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</si>
  <si>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</si>
  <si>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</si>
  <si>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</si>
  <si>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</si>
  <si>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</si>
  <si>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</si>
  <si>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</si>
  <si>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</si>
  <si>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</si>
  <si>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</si>
  <si>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</si>
  <si>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</si>
  <si>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</si>
  <si>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</si>
  <si>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</si>
  <si>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</si>
  <si>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</si>
  <si>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</si>
  <si>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</si>
  <si>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</si>
  <si>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</si>
  <si>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</si>
  <si>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</si>
  <si>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</si>
  <si>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</si>
  <si>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</si>
  <si>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</si>
  <si>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</si>
  <si>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</si>
  <si>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</si>
  <si>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</si>
  <si>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</si>
  <si>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</si>
  <si>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</si>
  <si>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</si>
  <si>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</si>
  <si>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</si>
  <si>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</si>
  <si>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</si>
  <si>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</si>
  <si>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</si>
  <si>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</si>
  <si>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</si>
  <si>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</si>
  <si>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</si>
  <si>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</si>
  <si>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</si>
  <si>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</si>
  <si>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</si>
  <si>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</si>
  <si>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</si>
  <si>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</si>
  <si>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</si>
  <si>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</si>
  <si>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</si>
  <si>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</si>
  <si>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</si>
  <si>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</si>
  <si>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</si>
  <si>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</si>
  <si>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</si>
  <si>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</si>
  <si>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</si>
  <si>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</si>
  <si>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</si>
  <si>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</si>
  <si>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</si>
  <si>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</si>
  <si>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</si>
  <si>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</si>
  <si>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</si>
  <si>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D5 LRS </t>
  </si>
  <si>
    <t xml:space="preserve">PHOSPHO SODA </t>
  </si>
  <si>
    <t>IV SOLUTION/IV</t>
  </si>
  <si>
    <t>ABBOCATH GAUZE 20(TERUMO)</t>
  </si>
  <si>
    <t>GLOVES 6</t>
  </si>
  <si>
    <t>GLOVES 7</t>
  </si>
  <si>
    <t>MACROSET</t>
  </si>
  <si>
    <t>PATIENT GOWN ADULT</t>
  </si>
  <si>
    <t>CBC</t>
  </si>
  <si>
    <t>CREATININE</t>
  </si>
  <si>
    <t>RBS/HGT</t>
  </si>
  <si>
    <t>VENOCLYSIS FEE</t>
  </si>
  <si>
    <t>ROOM AND BOARD</t>
  </si>
  <si>
    <t>SOLUTION/ORAL</t>
  </si>
  <si>
    <t>1 LITER</t>
  </si>
  <si>
    <t>48G/18G/45ML</t>
  </si>
  <si>
    <t>ANAL FISTULA  K60.3</t>
  </si>
  <si>
    <t>HANAR 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</si>
</sst>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37</xdr:row>
          <xdr:rowOff>28575</xdr:rowOff>
        </xdr:from>
        <xdr:to>
          <xdr:col>1</xdr:col>
          <xdr:colOff>762000</xdr:colOff>
          <xdr:row>37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37</xdr:row>
          <xdr:rowOff>28575</xdr:rowOff>
        </xdr:from>
        <xdr:to>
          <xdr:col>1</xdr:col>
          <xdr:colOff>1533525</xdr:colOff>
          <xdr:row>37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28575</xdr:rowOff>
        </xdr:from>
        <xdr:to>
          <xdr:col>1</xdr:col>
          <xdr:colOff>771525</xdr:colOff>
          <xdr:row>48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48</xdr:row>
          <xdr:rowOff>28575</xdr:rowOff>
        </xdr:from>
        <xdr:to>
          <xdr:col>1</xdr:col>
          <xdr:colOff>1543050</xdr:colOff>
          <xdr:row>48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9"/>
  <sheetViews>
    <sheetView topLeftCell="B18" zoomScale="115" zoomScaleNormal="115" workbookViewId="0">
      <selection activeCell="D25" sqref="D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30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176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 t="s">
        <v>177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177</v>
      </c>
      <c r="D61" s="55"/>
      <c r="E61" s="55"/>
      <c r="F61" s="55">
        <v>900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31" t="s">
        <v>173</v>
      </c>
      <c r="D62" s="55"/>
      <c r="E62" s="55"/>
      <c r="F62" s="55">
        <v>342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174</v>
      </c>
      <c r="D63" s="55"/>
      <c r="E63" s="55"/>
      <c r="F63" s="55">
        <v>298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175</v>
      </c>
      <c r="D64" s="55"/>
      <c r="E64" s="55"/>
      <c r="F64" s="55">
        <v>180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176</v>
      </c>
      <c r="D65" s="55"/>
      <c r="E65" s="55"/>
      <c r="F65" s="55">
        <v>300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165</v>
      </c>
      <c r="D66" s="55"/>
      <c r="E66" s="55"/>
      <c r="F66" s="55">
        <v>201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166</v>
      </c>
      <c r="D67" s="55"/>
      <c r="E67" s="55"/>
      <c r="F67" s="55">
        <v>369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69" t="s">
        <v>168</v>
      </c>
      <c r="D68" s="55"/>
      <c r="E68" s="55"/>
      <c r="F68" s="55">
        <v>174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69" t="s">
        <v>169</v>
      </c>
      <c r="D69" s="55"/>
      <c r="E69" s="55"/>
      <c r="F69" s="55">
        <v>56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69" t="s">
        <v>170</v>
      </c>
      <c r="D70" s="55"/>
      <c r="E70" s="55"/>
      <c r="F70" s="55">
        <v>112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69" t="s">
        <v>171</v>
      </c>
      <c r="D71" s="55"/>
      <c r="E71" s="55"/>
      <c r="F71" s="55">
        <v>147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69" t="s">
        <v>172</v>
      </c>
      <c r="D72" s="55"/>
      <c r="E72" s="55"/>
      <c r="F72" s="55">
        <v>350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69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16</v>
      </c>
      <c r="C76" s="69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17</v>
      </c>
      <c r="C77" s="69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18</v>
      </c>
      <c r="C78" s="69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19</v>
      </c>
      <c r="C79" s="69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20</v>
      </c>
      <c r="C80" s="69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21</v>
      </c>
      <c r="C81" s="69"/>
      <c r="D81" s="55"/>
      <c r="E81" s="55"/>
      <c r="F81" s="5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22</v>
      </c>
      <c r="C82" s="69"/>
      <c r="D82" s="55"/>
      <c r="E82" s="55"/>
      <c r="F82" s="55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23</v>
      </c>
      <c r="C83" s="69"/>
      <c r="D83" s="55"/>
      <c r="E83" s="55"/>
      <c r="F83" s="55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24</v>
      </c>
      <c r="C84" s="69"/>
      <c r="D84" s="55"/>
      <c r="E84" s="55"/>
      <c r="F84" s="55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0">
        <v>25</v>
      </c>
      <c r="C85" s="27"/>
      <c r="D85" s="55"/>
      <c r="E85" s="55"/>
      <c r="F85" s="55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0">
        <v>26</v>
      </c>
      <c r="C86" s="27"/>
      <c r="D86" s="55"/>
      <c r="E86" s="55"/>
      <c r="F86" s="55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0">
        <v>27</v>
      </c>
      <c r="C87" s="27"/>
      <c r="D87" s="55"/>
      <c r="E87" s="55"/>
      <c r="F87" s="55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0">
        <v>28</v>
      </c>
      <c r="C88" s="27"/>
      <c r="D88" s="55"/>
      <c r="E88" s="55"/>
      <c r="F88" s="55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0">
        <v>29</v>
      </c>
      <c r="C89" s="27"/>
      <c r="D89" s="55"/>
      <c r="E89" s="55"/>
      <c r="F89" s="55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0">
        <v>30</v>
      </c>
      <c r="C90" s="27"/>
      <c r="D90" s="55"/>
      <c r="E90" s="55"/>
      <c r="F90" s="55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4.9000000000000004" customHeight="1" thickBot="1" x14ac:dyDescent="0.35">
      <c r="A91" s="1"/>
      <c r="B91" s="1"/>
      <c r="C91" s="1"/>
      <c r="D91" s="58"/>
      <c r="E91" s="58"/>
      <c r="F91" s="58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thickTop="1" x14ac:dyDescent="0.3">
      <c r="A92" s="1"/>
      <c r="B92" s="11"/>
      <c r="C92" s="4" t="s">
        <v>22</v>
      </c>
      <c r="D92" s="59">
        <f>SUM(D61:D91)</f>
        <v>0</v>
      </c>
      <c r="E92" s="59">
        <f>SUM(E61:E91)</f>
        <v>0</v>
      </c>
      <c r="F92" s="59">
        <f>SUM(F61:F91)</f>
        <v>3429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ht="13.5" customHeight="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ht="13.5" customHeight="1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ht="13.5" customHeight="1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1:25" ht="13.5" customHeight="1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ht="13.5" customHeight="1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1:25" ht="13.5" customHeight="1" x14ac:dyDescent="0.3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E34:E38 D61:F61 D63:F90 E62:F62">
      <formula1>0</formula1>
    </dataValidation>
  </dataValidations>
  <pageMargins left="0.7" right="0.7" top="0.75" bottom="0.75" header="0" footer="0"/>
  <pageSetup paperSize="5"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7"/>
  <sheetViews>
    <sheetView topLeftCell="E2" zoomScale="115" zoomScaleNormal="115"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HANAR MASS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21" customHeight="1" x14ac:dyDescent="0.3">
      <c r="B11" s="42">
        <v>1</v>
      </c>
      <c r="C11" s="27" t="s">
        <v>165</v>
      </c>
      <c r="D11" s="27" t="s">
        <v>167</v>
      </c>
      <c r="E11" s="27" t="s">
        <v>179</v>
      </c>
      <c r="F11" s="55">
        <v>1</v>
      </c>
      <c r="G11" s="55">
        <v>1</v>
      </c>
      <c r="H11" s="55">
        <v>1</v>
      </c>
      <c r="I11" s="55">
        <v>66.95</v>
      </c>
      <c r="J11" s="55">
        <f>H11*I11</f>
        <v>66.95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166</v>
      </c>
      <c r="D12" s="27" t="s">
        <v>178</v>
      </c>
      <c r="E12" s="27" t="s">
        <v>180</v>
      </c>
      <c r="F12" s="55">
        <v>1</v>
      </c>
      <c r="G12" s="55">
        <v>1</v>
      </c>
      <c r="H12" s="55">
        <v>1</v>
      </c>
      <c r="I12" s="55">
        <v>232.82</v>
      </c>
      <c r="J12" s="55">
        <f t="shared" ref="J12:J15" si="0">H12*I12</f>
        <v>232.82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3">
      <c r="B35" s="42">
        <v>25</v>
      </c>
      <c r="C35" s="27"/>
      <c r="D35" s="27"/>
      <c r="E35" s="27"/>
      <c r="F35" s="55"/>
      <c r="G35" s="55"/>
      <c r="H35" s="55"/>
      <c r="I35" s="55"/>
      <c r="J35" s="55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20" ht="12.75" customHeight="1" x14ac:dyDescent="0.3">
      <c r="B36" s="42">
        <v>26</v>
      </c>
      <c r="C36" s="27"/>
      <c r="D36" s="27"/>
      <c r="E36" s="27"/>
      <c r="F36" s="55"/>
      <c r="G36" s="55"/>
      <c r="H36" s="55"/>
      <c r="I36" s="55"/>
      <c r="J36" s="55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1:20" ht="12.75" customHeight="1" x14ac:dyDescent="0.25">
      <c r="A37" s="33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</row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6">
      <formula1>0</formula1>
    </dataValidation>
  </dataValidations>
  <pageMargins left="0.7" right="0.7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2"/>
  <sheetViews>
    <sheetView topLeftCell="A7" workbookViewId="0">
      <selection activeCell="D24" sqref="D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HANAR MASS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21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/>
      <c r="E16" s="55">
        <v>1</v>
      </c>
      <c r="F16" s="55">
        <v>49.51</v>
      </c>
      <c r="G16" s="55">
        <f>F16*E16</f>
        <v>49.51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/>
      <c r="E17" s="55">
        <v>1</v>
      </c>
      <c r="F17" s="55">
        <v>19.86</v>
      </c>
      <c r="G17" s="55">
        <f t="shared" ref="G17:G21" si="0">F17*E17</f>
        <v>19.86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/>
      <c r="E18" s="55">
        <v>2</v>
      </c>
      <c r="F18" s="55">
        <v>18.02</v>
      </c>
      <c r="G18" s="55">
        <f t="shared" si="0"/>
        <v>36.04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/>
      <c r="E19" s="55">
        <v>1</v>
      </c>
      <c r="F19" s="55">
        <v>44.84</v>
      </c>
      <c r="G19" s="55">
        <f t="shared" si="0"/>
        <v>44.84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/>
      <c r="E20" s="55">
        <v>1</v>
      </c>
      <c r="F20" s="55">
        <v>111.3</v>
      </c>
      <c r="G20" s="55">
        <f t="shared" si="0"/>
        <v>111.3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20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136" t="s">
        <v>77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136" t="s">
        <v>29</v>
      </c>
      <c r="C48" s="137"/>
      <c r="D48" s="137"/>
      <c r="E48" s="137"/>
      <c r="F48" s="137"/>
      <c r="G48" s="138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2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3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4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5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6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7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8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9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10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A59" s="44"/>
      <c r="B59" s="39"/>
      <c r="C59" s="44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A60" s="44"/>
      <c r="B60" s="39"/>
      <c r="C60" s="44"/>
      <c r="D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password="C2E9" sheet="1" objects="1" scenarios="1" formatColumns="0" formatRows="0" sort="0" autoFilter="0"/>
  <mergeCells count="9">
    <mergeCell ref="B7:G7"/>
    <mergeCell ref="B37:G37"/>
    <mergeCell ref="B48:G4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8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37</xdr:row>
                    <xdr:rowOff>28575</xdr:rowOff>
                  </from>
                  <to>
                    <xdr:col>1</xdr:col>
                    <xdr:colOff>762000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37</xdr:row>
                    <xdr:rowOff>28575</xdr:rowOff>
                  </from>
                  <to>
                    <xdr:col>1</xdr:col>
                    <xdr:colOff>1533525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8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48</xdr:row>
                    <xdr:rowOff>28575</xdr:rowOff>
                  </from>
                  <to>
                    <xdr:col>1</xdr:col>
                    <xdr:colOff>771525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9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48</xdr:row>
                    <xdr:rowOff>28575</xdr:rowOff>
                  </from>
                  <to>
                    <xdr:col>1</xdr:col>
                    <xdr:colOff>1543050</xdr:colOff>
                    <xdr:row>48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B2" workbookViewId="0">
      <selection activeCell="J22" sqref="J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HANAR MASS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/>
      <c r="F13" s="55"/>
      <c r="G13" s="55">
        <v>180</v>
      </c>
      <c r="H13" s="55"/>
      <c r="I13" s="55">
        <v>180</v>
      </c>
      <c r="J13" s="55"/>
      <c r="K13" s="55"/>
      <c r="L13" s="55"/>
      <c r="M13" s="55"/>
      <c r="N13" s="55"/>
      <c r="P13" s="88">
        <f>SUM(D13:N13)</f>
        <v>360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195</v>
      </c>
      <c r="H30" s="88">
        <f t="shared" si="1"/>
        <v>0</v>
      </c>
      <c r="I30" s="88">
        <f t="shared" si="1"/>
        <v>180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5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MY PC</cp:lastModifiedBy>
  <cp:lastPrinted>2018-05-26T01:27:55Z</cp:lastPrinted>
  <dcterms:created xsi:type="dcterms:W3CDTF">2018-05-11T08:46:15Z</dcterms:created>
  <dcterms:modified xsi:type="dcterms:W3CDTF">2018-06-07T05:32:58Z</dcterms:modified>
</cp:coreProperties>
</file>