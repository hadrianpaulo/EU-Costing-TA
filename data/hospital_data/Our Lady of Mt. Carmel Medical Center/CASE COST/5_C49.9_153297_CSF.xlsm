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Supplies_Medical'!$C$15:$C$57</definedName>
    <definedName name="Drugs">'1.2 Drugs&amp;Med'!$C$11:$C$25</definedName>
    <definedName name="_xlnm.Print_Area" localSheetId="0">'1.1 Case data_general'!$B$2:$F$135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8" i="9"/>
  <c r="G17" i="9"/>
  <c r="G18" i="9"/>
  <c r="G19" i="9"/>
  <c r="G16" i="9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11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G5" i="11" s="1" a="1"/>
  <c r="G5" i="11" s="1"/>
  <c r="F3" i="11" a="1"/>
  <c r="F3" i="11" s="1"/>
  <c r="F4" i="11" s="1" a="1"/>
  <c r="F4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135" i="1"/>
  <c r="E135" i="1"/>
  <c r="D135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<sst xmlns="http://schemas.openxmlformats.org/spreadsheetml/2006/main" count="559" uniqueCount="228">
  <si>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</si>
  <si>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</si>
  <si>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</si>
  <si>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</si>
  <si>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</si>
  <si>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</si>
  <si>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</si>
  <si>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</si>
  <si>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</si>
  <si>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</si>
  <si>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</si>
  <si>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</si>
  <si>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</si>
  <si>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</si>
  <si>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</si>
  <si>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</si>
  <si>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</si>
  <si>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</si>
  <si>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</si>
  <si>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</si>
  <si>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</si>
  <si>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</si>
  <si>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Room and board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</si>
  <si>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</si>
  <si>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</si>
  <si>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</si>
  <si>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</si>
  <si>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</si>
  <si>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</si>
  <si>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</si>
  <si>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</si>
  <si>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</si>
  <si>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</si>
  <si>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</si>
  <si>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</si>
  <si>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</si>
  <si>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</si>
  <si>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</si>
  <si>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</si>
  <si>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</si>
  <si>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</si>
  <si>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</si>
  <si>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</si>
  <si>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</si>
  <si>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</si>
  <si>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</si>
  <si>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</si>
  <si>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</si>
  <si>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</si>
  <si>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</si>
  <si>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</si>
  <si>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</si>
  <si>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</si>
  <si>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</si>
  <si>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</si>
  <si>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</si>
  <si>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</si>
  <si>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</si>
  <si>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</si>
  <si>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</si>
  <si>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</si>
  <si>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</si>
  <si>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</si>
  <si>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</si>
  <si>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</si>
  <si>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</si>
  <si>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</si>
  <si>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</si>
  <si>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</si>
  <si>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</si>
  <si>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</si>
  <si>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</si>
  <si>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</si>
  <si>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</si>
  <si>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</si>
  <si>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</si>
  <si>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</si>
  <si>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</si>
  <si>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</si>
  <si>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</si>
  <si>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</si>
  <si>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</si>
  <si>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</si>
  <si>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</si>
  <si>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</si>
  <si>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</si>
  <si>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</si>
  <si>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</si>
  <si>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</si>
  <si>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</si>
  <si>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</si>
  <si>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</si>
  <si>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</si>
  <si>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</si>
  <si>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</si>
  <si>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</si>
  <si>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</si>
  <si>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</si>
  <si>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</si>
  <si>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</si>
  <si>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</si>
  <si>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</si>
  <si>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</si>
  <si>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</si>
  <si>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</si>
  <si>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</si>
  <si>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</si>
  <si>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</si>
  <si>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</si>
  <si>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</si>
  <si>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</si>
  <si>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</si>
  <si>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</si>
  <si>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</si>
  <si>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</si>
  <si>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</si>
  <si>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</si>
  <si>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</si>
  <si>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</si>
  <si>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</si>
  <si>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</si>
  <si>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</si>
  <si>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</si>
  <si>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</si>
  <si>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</si>
  <si>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</si>
  <si>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</si>
  <si>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</si>
  <si>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</si>
  <si>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</si>
  <si>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</si>
  <si>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</si>
  <si>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</si>
  <si>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</si>
  <si>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</si>
  <si>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</si>
  <si>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</si>
  <si>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</si>
  <si>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</si>
  <si>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</si>
  <si>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</si>
  <si>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</si>
  <si>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</si>
  <si>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</si>
  <si>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</si>
  <si>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</si>
  <si>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</si>
  <si>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</si>
  <si>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</si>
  <si>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</si>
  <si>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</si>
  <si>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</si>
  <si>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</si>
  <si>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</si>
  <si>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</si>
  <si>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</si>
  <si>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</si>
  <si>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</si>
  <si>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</si>
  <si>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</si>
  <si>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</si>
  <si>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</si>
  <si>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</si>
  <si>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</si>
  <si>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</si>
  <si>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</si>
  <si>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CBC</t>
  </si>
  <si>
    <t>POTASSIUM (K)</t>
  </si>
  <si>
    <t>CREATININE</t>
  </si>
  <si>
    <t>CHEST AP - XRAY</t>
  </si>
  <si>
    <t>MACROSET</t>
  </si>
  <si>
    <t>PATIENT GOWN ADULT</t>
  </si>
  <si>
    <t>SYRINGE 5CC</t>
  </si>
  <si>
    <t>IV FLUIDS/IV</t>
  </si>
  <si>
    <t>ORAL</t>
  </si>
  <si>
    <t>CEFUREX (CEFUROXIME AXETIL)</t>
  </si>
  <si>
    <t>TABLET 500MG</t>
  </si>
  <si>
    <t>D5 LRS</t>
  </si>
  <si>
    <t>1L</t>
  </si>
  <si>
    <t>ISTAN (MEFENAMIC ACID)</t>
  </si>
  <si>
    <t>CAPSULE 500 MG</t>
  </si>
  <si>
    <t>LIPITOR (ATORVASTATIN)</t>
  </si>
  <si>
    <t>TABLET 40MG</t>
  </si>
  <si>
    <t>NUBAIN (NALBUPHINE)</t>
  </si>
  <si>
    <t>AMPULE/IV</t>
  </si>
  <si>
    <t>AMPULE 10MG/ML</t>
  </si>
  <si>
    <t>TRACRIUM (ATRACURIUM)</t>
  </si>
  <si>
    <t>AMPULE 25MG</t>
  </si>
  <si>
    <t>VENTOLIN NEB (SALBUTAMOL)</t>
  </si>
  <si>
    <t>INHALATION/NEBULE</t>
  </si>
  <si>
    <t>NEBULE 2.5MG/2.5ML</t>
  </si>
  <si>
    <t>FENTANYL CITRATE</t>
  </si>
  <si>
    <t>AMPULE 2ML</t>
  </si>
  <si>
    <t xml:space="preserve">PROFOSOL </t>
  </si>
  <si>
    <t xml:space="preserve">IV </t>
  </si>
  <si>
    <t>IV 10MG/ML</t>
  </si>
  <si>
    <t>ABBOCATH GAUZE 20 (TERUMO)</t>
  </si>
  <si>
    <t>ABDO PACK</t>
  </si>
  <si>
    <t>BLADE # 10</t>
  </si>
  <si>
    <t>COTTON 2-0</t>
  </si>
  <si>
    <t>FACE MASK (TIE ON)</t>
  </si>
  <si>
    <t>GLOVES SIZE 6</t>
  </si>
  <si>
    <t>GLOVES SIZE 7</t>
  </si>
  <si>
    <t>JACKSON-PRATT</t>
  </si>
  <si>
    <t>NASAL CANNULA ADULT</t>
  </si>
  <si>
    <t>OR CAP</t>
  </si>
  <si>
    <t>OS 4X8 (STERILE)</t>
  </si>
  <si>
    <t>SUCTION CATHETER FR. 14</t>
  </si>
  <si>
    <t>SUCTION CATHETER FR. 16</t>
  </si>
  <si>
    <t>SYRINGE 10CC</t>
  </si>
  <si>
    <t>SYRINGE 1CC</t>
  </si>
  <si>
    <t>SYRINGE 3CC</t>
  </si>
  <si>
    <t>NEBULIZER KIT</t>
  </si>
  <si>
    <t>MAJOR OPERATION</t>
  </si>
  <si>
    <t>RBS/HGT</t>
  </si>
  <si>
    <t>ECG</t>
  </si>
  <si>
    <t>MAJOR OR FEE (3HRS)</t>
  </si>
  <si>
    <t>NEBULIZATION FEE</t>
  </si>
  <si>
    <t>OXYGEN/PSI</t>
  </si>
  <si>
    <t>RECOVERY ROOM USED (2HRS)</t>
  </si>
  <si>
    <t>USE OF CAUTERY MACHINE</t>
  </si>
  <si>
    <t>VENOCLYSIS FEE</t>
  </si>
  <si>
    <t>ROOM AND BOARD</t>
  </si>
  <si>
    <t>HISTOPATH PROFESSIONAL FEE</t>
  </si>
  <si>
    <t>PROCESSING FEE HISTOPATH LARGE</t>
  </si>
  <si>
    <t>C 49.9</t>
  </si>
  <si>
    <t>EXCISION OF CHEST WALL TUMOR WITH PLASTIC RECONSTRUCTION WITHOUT MEDIASTINAL LYMPHODENECTOMY (RVS CODE 19271)</t>
  </si>
  <si>
    <t>CONNECTIVE  AND SOFT TISSUE, UNSPECIFIED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</si>
</sst>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164" fontId="10" fillId="5" borderId="22" xfId="1" applyFont="1" applyFill="1" applyBorder="1" applyAlignment="1" applyProtection="1">
      <alignment horizontal="left" vertical="top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83</xdr:row>
          <xdr:rowOff>19050</xdr:rowOff>
        </xdr:from>
        <xdr:to>
          <xdr:col>1</xdr:col>
          <xdr:colOff>733425</xdr:colOff>
          <xdr:row>83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83</xdr:row>
          <xdr:rowOff>19050</xdr:rowOff>
        </xdr:from>
        <xdr:to>
          <xdr:col>1</xdr:col>
          <xdr:colOff>1504950</xdr:colOff>
          <xdr:row>83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</xdr:row>
          <xdr:rowOff>28575</xdr:rowOff>
        </xdr:from>
        <xdr:to>
          <xdr:col>1</xdr:col>
          <xdr:colOff>771525</xdr:colOff>
          <xdr:row>47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47</xdr:row>
          <xdr:rowOff>28575</xdr:rowOff>
        </xdr:from>
        <xdr:to>
          <xdr:col>1</xdr:col>
          <xdr:colOff>1543050</xdr:colOff>
          <xdr:row>47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72"/>
  <sheetViews>
    <sheetView zoomScaleNormal="100" workbookViewId="0">
      <selection activeCell="B13" sqref="B13:F1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60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227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26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50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62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63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21.75" customHeight="1" x14ac:dyDescent="0.3">
      <c r="A19" s="1"/>
      <c r="B19" s="30">
        <v>1</v>
      </c>
      <c r="C19" s="31" t="s">
        <v>225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54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49.5" x14ac:dyDescent="0.3">
      <c r="A23" s="1"/>
      <c r="B23" s="26">
        <v>1</v>
      </c>
      <c r="C23" s="27" t="s">
        <v>226</v>
      </c>
      <c r="D23" s="29" t="s">
        <v>213</v>
      </c>
      <c r="E23" s="55"/>
      <c r="F23" s="55">
        <v>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45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167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214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223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224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9" t="s">
        <v>19</v>
      </c>
      <c r="C42" s="120"/>
      <c r="D42" s="117"/>
      <c r="E42" s="120"/>
      <c r="F42" s="118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 t="s">
        <v>169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3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4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9" t="s">
        <v>46</v>
      </c>
      <c r="C47" s="120"/>
      <c r="D47" s="117"/>
      <c r="E47" s="120"/>
      <c r="F47" s="118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14" t="s">
        <v>47</v>
      </c>
      <c r="C48" s="13"/>
      <c r="D48" s="13"/>
      <c r="E48" s="16"/>
      <c r="F48" s="1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6" t="s">
        <v>55</v>
      </c>
      <c r="C49" s="117"/>
      <c r="D49" s="117"/>
      <c r="E49" s="117"/>
      <c r="F49" s="118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1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2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6" t="s">
        <v>20</v>
      </c>
      <c r="C54" s="117"/>
      <c r="D54" s="117"/>
      <c r="E54" s="117"/>
      <c r="F54" s="118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</v>
      </c>
      <c r="C55" s="27" t="s">
        <v>215</v>
      </c>
      <c r="D55" s="28"/>
      <c r="E55" s="55">
        <v>2</v>
      </c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2</v>
      </c>
      <c r="C56" s="27" t="s">
        <v>216</v>
      </c>
      <c r="D56" s="28"/>
      <c r="E56" s="55">
        <v>1</v>
      </c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3</v>
      </c>
      <c r="C57" s="27" t="s">
        <v>217</v>
      </c>
      <c r="D57" s="28"/>
      <c r="E57" s="55">
        <v>1</v>
      </c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4</v>
      </c>
      <c r="C58" s="27" t="s">
        <v>218</v>
      </c>
      <c r="D58" s="28"/>
      <c r="E58" s="55">
        <v>1</v>
      </c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5</v>
      </c>
      <c r="C59" s="27" t="s">
        <v>219</v>
      </c>
      <c r="D59" s="28"/>
      <c r="E59" s="55">
        <v>1</v>
      </c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6</v>
      </c>
      <c r="C60" s="27" t="s">
        <v>220</v>
      </c>
      <c r="D60" s="28"/>
      <c r="E60" s="55">
        <v>1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7</v>
      </c>
      <c r="C61" s="27" t="s">
        <v>221</v>
      </c>
      <c r="D61" s="28"/>
      <c r="E61" s="55">
        <v>1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8</v>
      </c>
      <c r="C62" s="27" t="s">
        <v>222</v>
      </c>
      <c r="D62" s="28"/>
      <c r="E62" s="55">
        <v>3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9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10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6">
        <v>11</v>
      </c>
      <c r="C65" s="27"/>
      <c r="D65" s="28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6">
        <v>12</v>
      </c>
      <c r="C66" s="27"/>
      <c r="D66" s="28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26">
        <v>13</v>
      </c>
      <c r="C67" s="27"/>
      <c r="D67" s="28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26">
        <v>14</v>
      </c>
      <c r="C68" s="27"/>
      <c r="D68" s="28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26">
        <v>15</v>
      </c>
      <c r="C69" s="27"/>
      <c r="D69" s="28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26">
        <v>16</v>
      </c>
      <c r="C70" s="27"/>
      <c r="D70" s="28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26">
        <v>17</v>
      </c>
      <c r="C71" s="27"/>
      <c r="D71" s="28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26">
        <v>18</v>
      </c>
      <c r="C72" s="27"/>
      <c r="D72" s="28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26">
        <v>19</v>
      </c>
      <c r="C73" s="27"/>
      <c r="D73" s="28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26">
        <v>20</v>
      </c>
      <c r="C74" s="27"/>
      <c r="D74" s="28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26">
        <v>21</v>
      </c>
      <c r="C75" s="27"/>
      <c r="D75" s="28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26">
        <v>22</v>
      </c>
      <c r="C76" s="27"/>
      <c r="D76" s="28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26">
        <v>23</v>
      </c>
      <c r="C77" s="27"/>
      <c r="D77" s="28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26">
        <v>24</v>
      </c>
      <c r="C78" s="27"/>
      <c r="D78" s="28"/>
      <c r="E78" s="55"/>
      <c r="F78" s="5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26">
        <v>25</v>
      </c>
      <c r="C79" s="27"/>
      <c r="D79" s="28"/>
      <c r="E79" s="55"/>
      <c r="F79" s="55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26">
        <v>26</v>
      </c>
      <c r="C80" s="27"/>
      <c r="D80" s="28"/>
      <c r="E80" s="55"/>
      <c r="F80" s="55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25"/>
      <c r="C81" s="25"/>
      <c r="D81" s="25"/>
      <c r="E81" s="25"/>
      <c r="F81" s="25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57.75" customHeight="1" thickBot="1" x14ac:dyDescent="0.35">
      <c r="A83" s="1"/>
      <c r="B83" s="17" t="s">
        <v>57</v>
      </c>
      <c r="C83" s="17" t="s">
        <v>53</v>
      </c>
      <c r="D83" s="17" t="s">
        <v>58</v>
      </c>
      <c r="E83" s="18" t="s">
        <v>59</v>
      </c>
      <c r="F83" s="19" t="s">
        <v>21</v>
      </c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2">
        <v>1</v>
      </c>
      <c r="C84" s="27" t="s">
        <v>22</v>
      </c>
      <c r="D84" s="55">
        <v>2700</v>
      </c>
      <c r="E84" s="55"/>
      <c r="F84" s="55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0">
        <v>2</v>
      </c>
      <c r="C85" s="31" t="s">
        <v>166</v>
      </c>
      <c r="D85" s="55">
        <v>376</v>
      </c>
      <c r="E85" s="55"/>
      <c r="F85" s="55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0">
        <v>3</v>
      </c>
      <c r="C86" s="27" t="s">
        <v>168</v>
      </c>
      <c r="D86" s="55">
        <v>328</v>
      </c>
      <c r="E86" s="55"/>
      <c r="F86" s="55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0">
        <v>4</v>
      </c>
      <c r="C87" s="27" t="s">
        <v>167</v>
      </c>
      <c r="D87" s="55">
        <v>330</v>
      </c>
      <c r="E87" s="55"/>
      <c r="F87" s="55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0">
        <v>5</v>
      </c>
      <c r="C88" s="27" t="s">
        <v>214</v>
      </c>
      <c r="D88" s="55">
        <v>198</v>
      </c>
      <c r="E88" s="55"/>
      <c r="F88" s="55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0">
        <v>6</v>
      </c>
      <c r="C89" s="27" t="s">
        <v>223</v>
      </c>
      <c r="D89" s="55">
        <v>1350</v>
      </c>
      <c r="E89" s="55"/>
      <c r="F89" s="55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0">
        <v>7</v>
      </c>
      <c r="C90" s="27" t="s">
        <v>224</v>
      </c>
      <c r="D90" s="55">
        <v>682.5</v>
      </c>
      <c r="E90" s="55"/>
      <c r="F90" s="55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0">
        <v>8</v>
      </c>
      <c r="C91" s="27" t="s">
        <v>169</v>
      </c>
      <c r="D91" s="55">
        <v>240</v>
      </c>
      <c r="E91" s="55"/>
      <c r="F91" s="55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0">
        <v>9</v>
      </c>
      <c r="C92" s="27" t="s">
        <v>215</v>
      </c>
      <c r="D92" s="55">
        <v>550</v>
      </c>
      <c r="E92" s="55"/>
      <c r="F92" s="55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0">
        <v>10</v>
      </c>
      <c r="C93" s="27" t="s">
        <v>216</v>
      </c>
      <c r="D93" s="55">
        <v>7500</v>
      </c>
      <c r="E93" s="55"/>
      <c r="F93" s="55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0">
        <v>11</v>
      </c>
      <c r="C94" s="27" t="s">
        <v>217</v>
      </c>
      <c r="D94" s="55">
        <v>90</v>
      </c>
      <c r="E94" s="55"/>
      <c r="F94" s="55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0">
        <v>12</v>
      </c>
      <c r="C95" s="27" t="s">
        <v>218</v>
      </c>
      <c r="D95" s="55">
        <v>950</v>
      </c>
      <c r="E95" s="55"/>
      <c r="F95" s="55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0">
        <v>13</v>
      </c>
      <c r="C96" s="27" t="s">
        <v>219</v>
      </c>
      <c r="D96" s="55">
        <v>1000</v>
      </c>
      <c r="E96" s="55"/>
      <c r="F96" s="55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0">
        <v>14</v>
      </c>
      <c r="C97" s="27" t="s">
        <v>220</v>
      </c>
      <c r="D97" s="55">
        <v>1000</v>
      </c>
      <c r="E97" s="55"/>
      <c r="F97" s="55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0">
        <v>15</v>
      </c>
      <c r="C98" s="27" t="s">
        <v>221</v>
      </c>
      <c r="D98" s="55">
        <v>500</v>
      </c>
      <c r="E98" s="55"/>
      <c r="F98" s="55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0">
        <v>16</v>
      </c>
      <c r="C99" s="27" t="s">
        <v>175</v>
      </c>
      <c r="D99" s="55">
        <v>288</v>
      </c>
      <c r="E99" s="55"/>
      <c r="F99" s="55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0">
        <v>17</v>
      </c>
      <c r="C100" s="27" t="s">
        <v>177</v>
      </c>
      <c r="D100" s="55"/>
      <c r="E100" s="55"/>
      <c r="F100" s="55">
        <v>442</v>
      </c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0">
        <v>18</v>
      </c>
      <c r="C101" s="27" t="s">
        <v>179</v>
      </c>
      <c r="D101" s="55"/>
      <c r="E101" s="55"/>
      <c r="F101" s="55">
        <v>90</v>
      </c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0">
        <v>19</v>
      </c>
      <c r="C102" s="27" t="s">
        <v>181</v>
      </c>
      <c r="D102" s="55"/>
      <c r="E102" s="55"/>
      <c r="F102" s="55">
        <v>158</v>
      </c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0">
        <v>20</v>
      </c>
      <c r="C103" s="27" t="s">
        <v>183</v>
      </c>
      <c r="D103" s="55"/>
      <c r="E103" s="55"/>
      <c r="F103" s="55">
        <v>218</v>
      </c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0">
        <v>21</v>
      </c>
      <c r="C104" s="27" t="s">
        <v>186</v>
      </c>
      <c r="D104" s="55"/>
      <c r="E104" s="55"/>
      <c r="F104" s="55">
        <v>455</v>
      </c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0">
        <v>22</v>
      </c>
      <c r="C105" s="27" t="s">
        <v>188</v>
      </c>
      <c r="D105" s="55"/>
      <c r="E105" s="55"/>
      <c r="F105" s="55">
        <v>54</v>
      </c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0">
        <v>23</v>
      </c>
      <c r="C106" s="27" t="s">
        <v>191</v>
      </c>
      <c r="D106" s="55"/>
      <c r="E106" s="55"/>
      <c r="F106" s="55">
        <v>207</v>
      </c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0">
        <v>24</v>
      </c>
      <c r="C107" s="27" t="s">
        <v>193</v>
      </c>
      <c r="D107" s="55"/>
      <c r="E107" s="55"/>
      <c r="F107" s="55">
        <v>719</v>
      </c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0">
        <v>25</v>
      </c>
      <c r="C108" s="69" t="s">
        <v>196</v>
      </c>
      <c r="D108" s="55"/>
      <c r="E108" s="55"/>
      <c r="F108" s="55">
        <v>190</v>
      </c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0">
        <v>26</v>
      </c>
      <c r="C109" s="69" t="s">
        <v>170</v>
      </c>
      <c r="D109" s="55"/>
      <c r="E109" s="55"/>
      <c r="F109" s="55">
        <v>161</v>
      </c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0">
        <v>27</v>
      </c>
      <c r="C110" s="69" t="s">
        <v>212</v>
      </c>
      <c r="D110" s="55"/>
      <c r="E110" s="55"/>
      <c r="F110" s="55">
        <v>171</v>
      </c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0">
        <v>28</v>
      </c>
      <c r="C111" s="69" t="s">
        <v>171</v>
      </c>
      <c r="D111" s="55">
        <v>700</v>
      </c>
      <c r="E111" s="55"/>
      <c r="F111" s="55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0">
        <v>29</v>
      </c>
      <c r="C112" s="69" t="s">
        <v>197</v>
      </c>
      <c r="D112" s="55">
        <v>760</v>
      </c>
      <c r="E112" s="55"/>
      <c r="F112" s="55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0">
        <v>30</v>
      </c>
      <c r="C113" s="69" t="s">
        <v>198</v>
      </c>
      <c r="D113" s="55">
        <v>104</v>
      </c>
      <c r="E113" s="55"/>
      <c r="F113" s="55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0">
        <v>31</v>
      </c>
      <c r="C114" s="69" t="s">
        <v>199</v>
      </c>
      <c r="D114" s="55">
        <v>330</v>
      </c>
      <c r="E114" s="55"/>
      <c r="F114" s="55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0">
        <v>32</v>
      </c>
      <c r="C115" s="69" t="s">
        <v>200</v>
      </c>
      <c r="D115" s="55">
        <v>125</v>
      </c>
      <c r="E115" s="55"/>
      <c r="F115" s="55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0">
        <v>33</v>
      </c>
      <c r="C116" s="69" t="s">
        <v>201</v>
      </c>
      <c r="D116" s="55">
        <v>61</v>
      </c>
      <c r="E116" s="55"/>
      <c r="F116" s="55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0">
        <v>34</v>
      </c>
      <c r="C117" s="69" t="s">
        <v>202</v>
      </c>
      <c r="D117" s="55">
        <v>122</v>
      </c>
      <c r="E117" s="55"/>
      <c r="F117" s="55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0">
        <v>35</v>
      </c>
      <c r="C118" s="69" t="s">
        <v>203</v>
      </c>
      <c r="D118" s="55">
        <v>1115.5</v>
      </c>
      <c r="E118" s="55"/>
      <c r="F118" s="55">
        <v>5164.5</v>
      </c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0">
        <v>36</v>
      </c>
      <c r="C119" s="69" t="s">
        <v>204</v>
      </c>
      <c r="D119" s="55"/>
      <c r="E119" s="55"/>
      <c r="F119" s="55">
        <v>161</v>
      </c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0">
        <v>37</v>
      </c>
      <c r="C120" s="69" t="s">
        <v>205</v>
      </c>
      <c r="D120" s="55"/>
      <c r="E120" s="55"/>
      <c r="F120" s="55">
        <v>95</v>
      </c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0">
        <v>38</v>
      </c>
      <c r="C121" s="69" t="s">
        <v>206</v>
      </c>
      <c r="D121" s="55"/>
      <c r="E121" s="55"/>
      <c r="F121" s="55">
        <v>113</v>
      </c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0">
        <v>39</v>
      </c>
      <c r="C122" s="69" t="s">
        <v>207</v>
      </c>
      <c r="D122" s="55"/>
      <c r="E122" s="55"/>
      <c r="F122" s="55">
        <v>69</v>
      </c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0">
        <v>40</v>
      </c>
      <c r="C123" s="69" t="s">
        <v>208</v>
      </c>
      <c r="D123" s="55"/>
      <c r="E123" s="55"/>
      <c r="F123" s="55">
        <v>69</v>
      </c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0">
        <v>41</v>
      </c>
      <c r="C124" s="69" t="s">
        <v>209</v>
      </c>
      <c r="D124" s="55"/>
      <c r="E124" s="55"/>
      <c r="F124" s="55">
        <v>36</v>
      </c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0">
        <v>42</v>
      </c>
      <c r="C125" s="69" t="s">
        <v>210</v>
      </c>
      <c r="D125" s="55"/>
      <c r="E125" s="55"/>
      <c r="F125" s="55">
        <v>25</v>
      </c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0">
        <v>43</v>
      </c>
      <c r="C126" s="69" t="s">
        <v>211</v>
      </c>
      <c r="D126" s="55"/>
      <c r="E126" s="55"/>
      <c r="F126" s="55">
        <v>44</v>
      </c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0">
        <v>44</v>
      </c>
      <c r="C127" s="69" t="s">
        <v>172</v>
      </c>
      <c r="D127" s="55"/>
      <c r="E127" s="55"/>
      <c r="F127" s="55">
        <v>44</v>
      </c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0">
        <v>45</v>
      </c>
      <c r="C128" s="69"/>
      <c r="D128" s="55"/>
      <c r="E128" s="55"/>
      <c r="F128" s="55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0">
        <v>46</v>
      </c>
      <c r="C129" s="27"/>
      <c r="D129" s="55"/>
      <c r="E129" s="55"/>
      <c r="F129" s="55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0">
        <v>47</v>
      </c>
      <c r="C130" s="27"/>
      <c r="D130" s="55"/>
      <c r="E130" s="55"/>
      <c r="F130" s="55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0">
        <v>48</v>
      </c>
      <c r="C131" s="27"/>
      <c r="D131" s="55"/>
      <c r="E131" s="55"/>
      <c r="F131" s="55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0">
        <v>49</v>
      </c>
      <c r="C132" s="27"/>
      <c r="D132" s="55"/>
      <c r="E132" s="55"/>
      <c r="F132" s="55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0">
        <v>50</v>
      </c>
      <c r="C133" s="27"/>
      <c r="D133" s="55"/>
      <c r="E133" s="55"/>
      <c r="F133" s="55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4.9000000000000004" customHeight="1" thickBot="1" x14ac:dyDescent="0.35">
      <c r="A134" s="1"/>
      <c r="B134" s="1"/>
      <c r="C134" s="1"/>
      <c r="D134" s="58"/>
      <c r="E134" s="58"/>
      <c r="F134" s="58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thickTop="1" x14ac:dyDescent="0.3">
      <c r="A135" s="1"/>
      <c r="B135" s="11"/>
      <c r="C135" s="4" t="s">
        <v>23</v>
      </c>
      <c r="D135" s="59">
        <f>SUM(D84:D134)</f>
        <v>21400</v>
      </c>
      <c r="E135" s="59">
        <f>SUM(E84:E134)</f>
        <v>0</v>
      </c>
      <c r="F135" s="59">
        <f>SUM(F84:F134)</f>
        <v>8685.5</v>
      </c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  <row r="1018" spans="1:25" ht="13.5" customHeight="1" x14ac:dyDescent="0.3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</row>
    <row r="1019" spans="1:25" ht="13.5" customHeight="1" x14ac:dyDescent="0.3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</row>
    <row r="1020" spans="1:25" ht="13.5" customHeight="1" x14ac:dyDescent="0.3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</row>
    <row r="1021" spans="1:25" ht="13.5" customHeight="1" x14ac:dyDescent="0.3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</row>
    <row r="1022" spans="1:25" ht="13.5" customHeight="1" x14ac:dyDescent="0.3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</row>
    <row r="1023" spans="1:25" ht="13.5" customHeight="1" x14ac:dyDescent="0.3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</row>
    <row r="1024" spans="1:25" ht="13.5" customHeight="1" x14ac:dyDescent="0.3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</row>
    <row r="1025" spans="1:25" ht="13.5" customHeight="1" x14ac:dyDescent="0.3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</row>
    <row r="1026" spans="1:25" ht="13.5" customHeight="1" x14ac:dyDescent="0.3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</row>
    <row r="1027" spans="1:25" ht="13.5" customHeight="1" x14ac:dyDescent="0.3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</row>
    <row r="1028" spans="1:25" ht="13.5" customHeight="1" x14ac:dyDescent="0.3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</row>
    <row r="1029" spans="1:25" ht="13.5" customHeight="1" x14ac:dyDescent="0.3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</row>
    <row r="1030" spans="1:25" ht="13.5" customHeight="1" x14ac:dyDescent="0.3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</row>
    <row r="1031" spans="1:25" ht="13.5" customHeight="1" x14ac:dyDescent="0.3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</row>
    <row r="1032" spans="1:25" ht="13.5" customHeight="1" x14ac:dyDescent="0.3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</row>
    <row r="1033" spans="1:25" ht="13.5" customHeight="1" x14ac:dyDescent="0.3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</row>
    <row r="1034" spans="1:25" ht="13.5" customHeight="1" x14ac:dyDescent="0.3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</row>
    <row r="1035" spans="1:25" ht="13.5" customHeight="1" x14ac:dyDescent="0.3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</row>
    <row r="1036" spans="1:25" ht="13.5" customHeight="1" x14ac:dyDescent="0.3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</row>
    <row r="1037" spans="1:25" ht="13.5" customHeight="1" x14ac:dyDescent="0.3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</row>
    <row r="1038" spans="1:25" ht="13.5" customHeight="1" x14ac:dyDescent="0.3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</row>
    <row r="1039" spans="1:25" ht="13.5" customHeight="1" x14ac:dyDescent="0.3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</row>
    <row r="1040" spans="1:25" ht="13.5" customHeight="1" x14ac:dyDescent="0.3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</row>
    <row r="1041" spans="1:25" ht="13.5" customHeight="1" x14ac:dyDescent="0.3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</row>
    <row r="1042" spans="1:25" ht="13.5" customHeight="1" x14ac:dyDescent="0.3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</row>
    <row r="1043" spans="1:25" ht="13.5" customHeight="1" x14ac:dyDescent="0.3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</row>
    <row r="1044" spans="1:25" ht="13.5" customHeight="1" x14ac:dyDescent="0.3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</row>
    <row r="1045" spans="1:25" ht="13.5" customHeight="1" x14ac:dyDescent="0.3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</row>
    <row r="1046" spans="1:25" ht="13.5" customHeight="1" x14ac:dyDescent="0.3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</row>
    <row r="1047" spans="1:25" ht="13.5" customHeight="1" x14ac:dyDescent="0.3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</row>
    <row r="1048" spans="1:25" ht="13.5" customHeight="1" x14ac:dyDescent="0.3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</row>
    <row r="1049" spans="1:25" ht="13.5" customHeight="1" x14ac:dyDescent="0.3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</row>
    <row r="1050" spans="1:25" ht="13.5" customHeight="1" x14ac:dyDescent="0.3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</row>
    <row r="1051" spans="1:25" ht="13.5" customHeight="1" x14ac:dyDescent="0.3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</row>
    <row r="1052" spans="1:25" ht="13.5" customHeight="1" x14ac:dyDescent="0.3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</row>
    <row r="1053" spans="1:25" ht="13.5" customHeight="1" x14ac:dyDescent="0.3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</row>
    <row r="1054" spans="1:25" ht="13.5" customHeight="1" x14ac:dyDescent="0.3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</row>
    <row r="1055" spans="1:25" ht="13.5" customHeight="1" x14ac:dyDescent="0.3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</row>
    <row r="1056" spans="1:25" ht="13.5" customHeight="1" x14ac:dyDescent="0.3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</row>
    <row r="1057" spans="1:25" ht="13.5" customHeight="1" x14ac:dyDescent="0.3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</row>
    <row r="1058" spans="1:25" ht="13.5" customHeight="1" x14ac:dyDescent="0.3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</row>
    <row r="1059" spans="1:25" ht="13.5" customHeight="1" x14ac:dyDescent="0.3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</row>
    <row r="1060" spans="1:25" ht="13.5" customHeight="1" x14ac:dyDescent="0.3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</row>
    <row r="1061" spans="1:25" ht="13.5" customHeight="1" x14ac:dyDescent="0.3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</row>
    <row r="1062" spans="1:25" ht="13.5" customHeight="1" x14ac:dyDescent="0.3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</row>
    <row r="1063" spans="1:25" ht="13.5" customHeight="1" x14ac:dyDescent="0.3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</row>
    <row r="1064" spans="1:25" ht="13.5" customHeight="1" x14ac:dyDescent="0.3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</row>
    <row r="1065" spans="1:25" ht="13.5" customHeight="1" x14ac:dyDescent="0.3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</row>
    <row r="1066" spans="1:25" ht="13.5" customHeight="1" x14ac:dyDescent="0.3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</row>
    <row r="1067" spans="1:25" ht="13.5" customHeight="1" x14ac:dyDescent="0.3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</row>
    <row r="1068" spans="1:25" ht="13.5" customHeight="1" x14ac:dyDescent="0.3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</row>
    <row r="1069" spans="1:25" ht="13.5" customHeight="1" x14ac:dyDescent="0.3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</row>
    <row r="1070" spans="1:25" ht="13.5" customHeight="1" x14ac:dyDescent="0.3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</row>
    <row r="1071" spans="1:25" ht="13.5" customHeight="1" x14ac:dyDescent="0.3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</row>
    <row r="1072" spans="1:25" ht="13.5" customHeight="1" x14ac:dyDescent="0.3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</row>
  </sheetData>
  <sheetProtection password="C2E9" sheet="1" objects="1" scenarios="1" formatColumns="0" formatRows="0" sort="0" autoFilter="0"/>
  <mergeCells count="12">
    <mergeCell ref="B54:F54"/>
    <mergeCell ref="B47:F47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9:F49"/>
  </mergeCells>
  <dataValidations count="1">
    <dataValidation type="decimal" operator="greaterThanOrEqual" allowBlank="1" showInputMessage="1" showErrorMessage="1" sqref="E32 E43:E46 E48 E23:F27 E50:F53 E55:F80 E34:E41 D84:F84 D86:F133 E85:F85">
      <formula1>0</formula1>
    </dataValidation>
  </dataValidations>
  <pageMargins left="0.7" right="0.7" top="0.75" bottom="0.75" header="0" footer="0"/>
  <pageSetup paperSize="5" scale="98" orientation="landscape" r:id="rId1"/>
  <rowBreaks count="1" manualBreakCount="1">
    <brk id="8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83</xdr:row>
                    <xdr:rowOff>19050</xdr:rowOff>
                  </from>
                  <to>
                    <xdr:col>1</xdr:col>
                    <xdr:colOff>733425</xdr:colOff>
                    <xdr:row>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83</xdr:row>
                    <xdr:rowOff>19050</xdr:rowOff>
                  </from>
                  <to>
                    <xdr:col>1</xdr:col>
                    <xdr:colOff>1504950</xdr:colOff>
                    <xdr:row>83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2" zoomScaleNormal="100" workbookViewId="0">
      <selection activeCell="C19" sqref="C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4" width="18.140625" style="35" customWidth="1"/>
    <col min="5" max="5" width="20.140625" style="35" customWidth="1"/>
    <col min="6" max="7" width="18.140625" style="35" customWidth="1"/>
    <col min="8" max="8" width="14.140625" style="35" customWidth="1"/>
    <col min="9" max="9" width="13.5703125" style="35" customWidth="1"/>
    <col min="10" max="10" width="16" style="35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CONNECTIVE  AND SOFT TISSUE, UNSPECIFIED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66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175</v>
      </c>
      <c r="D11" s="27" t="s">
        <v>174</v>
      </c>
      <c r="E11" s="27" t="s">
        <v>176</v>
      </c>
      <c r="F11" s="55">
        <v>2</v>
      </c>
      <c r="G11" s="55">
        <v>3</v>
      </c>
      <c r="H11" s="55">
        <v>6</v>
      </c>
      <c r="I11" s="115">
        <v>45.728400000000001</v>
      </c>
      <c r="J11" s="55">
        <f>I11*H11</f>
        <v>274.37040000000002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177</v>
      </c>
      <c r="D12" s="27" t="s">
        <v>173</v>
      </c>
      <c r="E12" s="27" t="s">
        <v>178</v>
      </c>
      <c r="F12" s="55">
        <v>2</v>
      </c>
      <c r="G12" s="55">
        <v>1</v>
      </c>
      <c r="H12" s="55">
        <v>2</v>
      </c>
      <c r="I12" s="115">
        <v>66.949600000000004</v>
      </c>
      <c r="J12" s="55">
        <f t="shared" ref="J12:J26" si="0">I12*H12</f>
        <v>133.89920000000001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179</v>
      </c>
      <c r="D13" s="27" t="s">
        <v>174</v>
      </c>
      <c r="E13" s="27" t="s">
        <v>180</v>
      </c>
      <c r="F13" s="55">
        <v>2</v>
      </c>
      <c r="G13" s="55">
        <v>3</v>
      </c>
      <c r="H13" s="55">
        <v>6</v>
      </c>
      <c r="I13" s="115">
        <v>8.48</v>
      </c>
      <c r="J13" s="55">
        <f t="shared" si="0"/>
        <v>50.88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20.25" customHeight="1" x14ac:dyDescent="0.3">
      <c r="B14" s="42">
        <v>4</v>
      </c>
      <c r="C14" s="27" t="s">
        <v>181</v>
      </c>
      <c r="D14" s="27" t="s">
        <v>174</v>
      </c>
      <c r="E14" s="27" t="s">
        <v>182</v>
      </c>
      <c r="F14" s="55">
        <v>1</v>
      </c>
      <c r="G14" s="55">
        <v>2</v>
      </c>
      <c r="H14" s="55">
        <v>2</v>
      </c>
      <c r="I14" s="55">
        <v>45.4</v>
      </c>
      <c r="J14" s="55">
        <f t="shared" si="0"/>
        <v>90.8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183</v>
      </c>
      <c r="D15" s="27" t="s">
        <v>184</v>
      </c>
      <c r="E15" s="27" t="s">
        <v>185</v>
      </c>
      <c r="F15" s="55">
        <v>1</v>
      </c>
      <c r="G15" s="55">
        <v>1</v>
      </c>
      <c r="H15" s="55">
        <v>1</v>
      </c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186</v>
      </c>
      <c r="D16" s="27" t="s">
        <v>184</v>
      </c>
      <c r="E16" s="27" t="s">
        <v>187</v>
      </c>
      <c r="F16" s="55">
        <v>1</v>
      </c>
      <c r="G16" s="55">
        <v>1</v>
      </c>
      <c r="H16" s="55">
        <v>1</v>
      </c>
      <c r="I16" s="55">
        <v>262.37</v>
      </c>
      <c r="J16" s="55">
        <f t="shared" si="0"/>
        <v>262.37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9.5" customHeight="1" x14ac:dyDescent="0.3">
      <c r="B17" s="42">
        <v>7</v>
      </c>
      <c r="C17" s="27" t="s">
        <v>188</v>
      </c>
      <c r="D17" s="27" t="s">
        <v>189</v>
      </c>
      <c r="E17" s="27" t="s">
        <v>190</v>
      </c>
      <c r="F17" s="55">
        <v>1</v>
      </c>
      <c r="G17" s="55">
        <v>1</v>
      </c>
      <c r="H17" s="55">
        <v>1</v>
      </c>
      <c r="I17" s="55">
        <v>31.61</v>
      </c>
      <c r="J17" s="55">
        <f t="shared" si="0"/>
        <v>31.61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191</v>
      </c>
      <c r="D18" s="27" t="s">
        <v>184</v>
      </c>
      <c r="E18" s="27" t="s">
        <v>192</v>
      </c>
      <c r="F18" s="55">
        <v>1</v>
      </c>
      <c r="G18" s="55">
        <v>1</v>
      </c>
      <c r="H18" s="55">
        <v>1</v>
      </c>
      <c r="I18" s="55">
        <v>139.75</v>
      </c>
      <c r="J18" s="55">
        <f t="shared" si="0"/>
        <v>139.75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193</v>
      </c>
      <c r="D19" s="27" t="s">
        <v>194</v>
      </c>
      <c r="E19" s="27" t="s">
        <v>195</v>
      </c>
      <c r="F19" s="55">
        <v>1</v>
      </c>
      <c r="G19" s="55">
        <v>1</v>
      </c>
      <c r="H19" s="55">
        <v>1</v>
      </c>
      <c r="I19" s="55">
        <v>477</v>
      </c>
      <c r="J19" s="55">
        <f t="shared" si="0"/>
        <v>477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5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1"/>
  <sheetViews>
    <sheetView workbookViewId="0">
      <selection activeCell="C37" sqref="C3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CONNECTIVE  AND SOFT TISSUE, UNSPECIFIED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19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24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25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71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26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27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28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29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74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196</v>
      </c>
      <c r="D16" s="70"/>
      <c r="E16" s="55">
        <v>1</v>
      </c>
      <c r="F16" s="55">
        <v>53.04</v>
      </c>
      <c r="G16" s="55">
        <f>F16*E16</f>
        <v>53.04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170</v>
      </c>
      <c r="D17" s="70"/>
      <c r="E17" s="55">
        <v>1</v>
      </c>
      <c r="F17" s="55">
        <v>44.84</v>
      </c>
      <c r="G17" s="55">
        <f t="shared" ref="G17:G19" si="0">F17*E17</f>
        <v>44.84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212</v>
      </c>
      <c r="D18" s="70"/>
      <c r="E18" s="55">
        <v>1</v>
      </c>
      <c r="F18" s="55">
        <v>66.03</v>
      </c>
      <c r="G18" s="55">
        <f t="shared" si="0"/>
        <v>66.03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171</v>
      </c>
      <c r="D19" s="70"/>
      <c r="E19" s="55">
        <v>2</v>
      </c>
      <c r="F19" s="55">
        <v>111.3</v>
      </c>
      <c r="G19" s="55">
        <f t="shared" si="0"/>
        <v>222.6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78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197</v>
      </c>
      <c r="D28" s="70"/>
      <c r="E28" s="55">
        <v>4</v>
      </c>
      <c r="F28" s="55">
        <v>115.08</v>
      </c>
      <c r="G28" s="55">
        <f>F28*E28</f>
        <v>460.32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198</v>
      </c>
      <c r="D29" s="70"/>
      <c r="E29" s="55">
        <v>2</v>
      </c>
      <c r="F29" s="55">
        <v>14.68</v>
      </c>
      <c r="G29" s="55">
        <f t="shared" ref="G29:G43" si="1">F29*E29</f>
        <v>29.36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199</v>
      </c>
      <c r="D30" s="70"/>
      <c r="E30" s="55">
        <v>3</v>
      </c>
      <c r="F30" s="55">
        <v>86.92</v>
      </c>
      <c r="G30" s="55">
        <f t="shared" si="1"/>
        <v>260.76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200</v>
      </c>
      <c r="D31" s="70"/>
      <c r="E31" s="55">
        <v>5</v>
      </c>
      <c r="F31" s="55">
        <v>1.696</v>
      </c>
      <c r="G31" s="55">
        <f t="shared" si="1"/>
        <v>8.48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201</v>
      </c>
      <c r="D32" s="70"/>
      <c r="E32" s="55">
        <v>1</v>
      </c>
      <c r="F32" s="55">
        <v>19.86</v>
      </c>
      <c r="G32" s="55">
        <f t="shared" si="1"/>
        <v>19.86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202</v>
      </c>
      <c r="D33" s="70"/>
      <c r="E33" s="55">
        <v>2</v>
      </c>
      <c r="F33" s="55">
        <v>18.02</v>
      </c>
      <c r="G33" s="55">
        <f t="shared" si="1"/>
        <v>36.04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203</v>
      </c>
      <c r="D34" s="70"/>
      <c r="E34" s="55">
        <v>2</v>
      </c>
      <c r="F34" s="55">
        <v>1767.1890000000001</v>
      </c>
      <c r="G34" s="55">
        <f t="shared" si="1"/>
        <v>3534.3780000000002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204</v>
      </c>
      <c r="D35" s="70"/>
      <c r="E35" s="55">
        <v>1</v>
      </c>
      <c r="F35" s="55">
        <v>41.34</v>
      </c>
      <c r="G35" s="55">
        <f t="shared" si="1"/>
        <v>41.34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205</v>
      </c>
      <c r="D36" s="70"/>
      <c r="E36" s="55">
        <v>5</v>
      </c>
      <c r="F36" s="55">
        <v>2.3319999999999999</v>
      </c>
      <c r="G36" s="55">
        <f t="shared" si="1"/>
        <v>11.66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206</v>
      </c>
      <c r="D37" s="70"/>
      <c r="E37" s="55">
        <v>1</v>
      </c>
      <c r="F37" s="55"/>
      <c r="G37" s="55">
        <f t="shared" si="1"/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207</v>
      </c>
      <c r="D38" s="70"/>
      <c r="E38" s="55">
        <v>1</v>
      </c>
      <c r="F38" s="55">
        <v>16.96</v>
      </c>
      <c r="G38" s="55">
        <f t="shared" si="1"/>
        <v>16.96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208</v>
      </c>
      <c r="D39" s="70"/>
      <c r="E39" s="55">
        <v>1</v>
      </c>
      <c r="F39" s="55">
        <v>16.96</v>
      </c>
      <c r="G39" s="55">
        <f t="shared" si="1"/>
        <v>16.96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209</v>
      </c>
      <c r="D40" s="70"/>
      <c r="E40" s="55">
        <v>1</v>
      </c>
      <c r="F40" s="55">
        <v>6.63</v>
      </c>
      <c r="G40" s="55">
        <f t="shared" si="1"/>
        <v>6.63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210</v>
      </c>
      <c r="D41" s="70"/>
      <c r="E41" s="55">
        <v>1</v>
      </c>
      <c r="F41" s="55">
        <v>6.63</v>
      </c>
      <c r="G41" s="55">
        <f t="shared" si="1"/>
        <v>6.63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211</v>
      </c>
      <c r="D42" s="70"/>
      <c r="E42" s="55">
        <v>2</v>
      </c>
      <c r="F42" s="55">
        <v>4.51</v>
      </c>
      <c r="G42" s="55">
        <f t="shared" si="1"/>
        <v>9.02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172</v>
      </c>
      <c r="D43" s="70"/>
      <c r="E43" s="55">
        <v>2</v>
      </c>
      <c r="F43" s="55">
        <v>5.28</v>
      </c>
      <c r="G43" s="55">
        <f t="shared" si="1"/>
        <v>10.56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137" t="s">
        <v>30</v>
      </c>
      <c r="C47" s="138"/>
      <c r="D47" s="138"/>
      <c r="E47" s="138"/>
      <c r="F47" s="138"/>
      <c r="G47" s="139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3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4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5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6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7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8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9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10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A59" s="44"/>
      <c r="B59" s="39"/>
      <c r="C59" s="44"/>
      <c r="D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47:G47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7">
      <formula1>0</formula1>
    </dataValidation>
  </dataValidations>
  <pageMargins left="0.7" right="0.7" top="0.75" bottom="0.75" header="0" footer="0"/>
  <pageSetup paperSize="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8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47</xdr:row>
                    <xdr:rowOff>28575</xdr:rowOff>
                  </from>
                  <to>
                    <xdr:col>1</xdr:col>
                    <xdr:colOff>771525</xdr:colOff>
                    <xdr:row>47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9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47</xdr:row>
                    <xdr:rowOff>28575</xdr:rowOff>
                  </from>
                  <to>
                    <xdr:col>1</xdr:col>
                    <xdr:colOff>1543050</xdr:colOff>
                    <xdr:row>47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2" workbookViewId="0">
      <selection activeCell="H19" sqref="H1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CONNECTIVE  AND SOFT TISSUE, UNSPECIFIED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87</v>
      </c>
      <c r="N12" s="90" t="s">
        <v>88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>
        <v>540</v>
      </c>
      <c r="H13" s="55"/>
      <c r="I13" s="55">
        <v>360</v>
      </c>
      <c r="J13" s="55"/>
      <c r="K13" s="55"/>
      <c r="L13" s="55"/>
      <c r="M13" s="55"/>
      <c r="N13" s="55"/>
      <c r="P13" s="88">
        <f>SUM(D13:N13)</f>
        <v>900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600</v>
      </c>
      <c r="H30" s="88">
        <f t="shared" si="1"/>
        <v>0</v>
      </c>
      <c r="I30" s="88">
        <f t="shared" si="1"/>
        <v>360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960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5"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MY PC</cp:lastModifiedBy>
  <cp:lastPrinted>2018-05-26T01:27:55Z</cp:lastPrinted>
  <dcterms:created xsi:type="dcterms:W3CDTF">2018-05-11T08:46:15Z</dcterms:created>
  <dcterms:modified xsi:type="dcterms:W3CDTF">2018-06-07T05:27:36Z</dcterms:modified>
</cp:coreProperties>
</file>