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data_general'!$B$2:$F$97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97" i="1"/>
  <c r="E97" i="1"/>
  <c r="D9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<sst xmlns="http://schemas.openxmlformats.org/spreadsheetml/2006/main" count="518" uniqueCount="209">
  <si>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</si>
  <si>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</si>
  <si>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</si>
  <si>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</si>
  <si>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</si>
  <si>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</si>
  <si>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</si>
  <si>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</si>
  <si>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</si>
  <si>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</si>
  <si>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</si>
  <si>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</si>
  <si>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</si>
  <si>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</si>
  <si>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</si>
  <si>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</si>
  <si>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</si>
  <si>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</si>
  <si>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</si>
  <si>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</si>
  <si>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</si>
  <si>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</si>
  <si>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Room and board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</si>
  <si>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</si>
  <si>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</si>
  <si>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</si>
  <si>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</si>
  <si>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</si>
  <si>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</si>
  <si>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</si>
  <si>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</si>
  <si>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</si>
  <si>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</si>
  <si>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</si>
  <si>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</si>
  <si>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</si>
  <si>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</si>
  <si>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</si>
  <si>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</si>
  <si>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</si>
  <si>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</si>
  <si>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</si>
  <si>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</si>
  <si>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</si>
  <si>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</si>
  <si>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</si>
  <si>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</si>
  <si>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</si>
  <si>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</si>
  <si>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</si>
  <si>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</si>
  <si>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</si>
  <si>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</si>
  <si>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</si>
  <si>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</si>
  <si>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</si>
  <si>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</si>
  <si>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</si>
  <si>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</si>
  <si>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</si>
  <si>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</si>
  <si>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</si>
  <si>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</si>
  <si>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</si>
  <si>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</si>
  <si>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</si>
  <si>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</si>
  <si>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</si>
  <si>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</si>
  <si>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</si>
  <si>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</si>
  <si>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</si>
  <si>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</si>
  <si>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</si>
  <si>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</si>
  <si>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</si>
  <si>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</si>
  <si>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</si>
  <si>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</si>
  <si>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</si>
  <si>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</si>
  <si>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</si>
  <si>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</si>
  <si>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</si>
  <si>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</si>
  <si>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</si>
  <si>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</si>
  <si>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</si>
  <si>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</si>
  <si>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</si>
  <si>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</si>
  <si>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</si>
  <si>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</si>
  <si>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</si>
  <si>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</si>
  <si>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</si>
  <si>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</si>
  <si>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</si>
  <si>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</si>
  <si>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</si>
  <si>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</si>
  <si>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</si>
  <si>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</si>
  <si>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</si>
  <si>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</si>
  <si>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</si>
  <si>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</si>
  <si>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</si>
  <si>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</si>
  <si>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</si>
  <si>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</si>
  <si>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</si>
  <si>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</si>
  <si>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</si>
  <si>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</si>
  <si>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</si>
  <si>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</si>
  <si>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</si>
  <si>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</si>
  <si>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</si>
  <si>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</si>
  <si>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</si>
  <si>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</si>
  <si>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</si>
  <si>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</si>
  <si>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</si>
  <si>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</si>
  <si>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</si>
  <si>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</si>
  <si>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</si>
  <si>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</si>
  <si>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</si>
  <si>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</si>
  <si>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</si>
  <si>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</si>
  <si>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</si>
  <si>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</si>
  <si>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</si>
  <si>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</si>
  <si>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</si>
  <si>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</si>
  <si>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</si>
  <si>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</si>
  <si>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</si>
  <si>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</si>
  <si>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</si>
  <si>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</si>
  <si>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</si>
  <si>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</si>
  <si>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</si>
  <si>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</si>
  <si>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</si>
  <si>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</si>
  <si>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</si>
  <si>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</si>
  <si>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</si>
  <si>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</si>
  <si>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</si>
  <si>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</si>
  <si>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</si>
  <si>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</si>
  <si>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</si>
  <si>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</si>
  <si>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</si>
  <si>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</si>
  <si>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</si>
  <si>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HEAD BRAIN CT SCAN</t>
  </si>
  <si>
    <t>CBC</t>
  </si>
  <si>
    <t>SODIUM (NA)</t>
  </si>
  <si>
    <t>POTASSIUM (K)</t>
  </si>
  <si>
    <t>CREATININE</t>
  </si>
  <si>
    <t>CHEST AP - XRAY</t>
  </si>
  <si>
    <t>HAND APO XRAY</t>
  </si>
  <si>
    <t>PLAIN NSS 1L</t>
  </si>
  <si>
    <t>AUGMENTIN 625MG (CO-AMOXICLAV)</t>
  </si>
  <si>
    <t>CELEBREX 200MG (CELECOXIB)</t>
  </si>
  <si>
    <t>AMOCLAV (CO-AMOXICLAV)</t>
  </si>
  <si>
    <t>ABBOCATH GAUGE 22 9TERUMO)</t>
  </si>
  <si>
    <t>ADMISSION KIT</t>
  </si>
  <si>
    <t>HEPLOCK</t>
  </si>
  <si>
    <t>HOT WATER BAG (SMALL)</t>
  </si>
  <si>
    <t>ICE BAG</t>
  </si>
  <si>
    <t>IV STARTER KIT</t>
  </si>
  <si>
    <t>MACROSET</t>
  </si>
  <si>
    <t>PATIENT GOWN ADULT</t>
  </si>
  <si>
    <t>PILLOW</t>
  </si>
  <si>
    <t>SYRINGE 5CC</t>
  </si>
  <si>
    <t>MOVELAX 3.3G/5ML (LACTULOSE)</t>
  </si>
  <si>
    <t>URINALYSIS</t>
  </si>
  <si>
    <t>CEREBRAL CONCUSSION S06.00</t>
  </si>
  <si>
    <t>PLAIN NORMAL SALINE SOLUTION</t>
  </si>
  <si>
    <t>IV FLUIDS/IV</t>
  </si>
  <si>
    <t>900 MG/100 ML-1L</t>
  </si>
  <si>
    <t>ORAL</t>
  </si>
  <si>
    <t>TABLET 625 MG</t>
  </si>
  <si>
    <t>SYRUP 3.3G/5ML</t>
  </si>
  <si>
    <t>CAPSULE 200 MG</t>
  </si>
  <si>
    <t>TABLET 625MG</t>
  </si>
  <si>
    <t>ADMISSION FEE</t>
  </si>
  <si>
    <t>ECG</t>
  </si>
  <si>
    <t>EMERGENCY FEE</t>
  </si>
  <si>
    <t>MISC FEE</t>
  </si>
  <si>
    <t>VENOCLYSIS FEE</t>
  </si>
  <si>
    <t>SYRUP/ORAL</t>
  </si>
  <si>
    <t>CO-AMOXICLAV (AMOCLAV)</t>
  </si>
  <si>
    <t xml:space="preserve">CELECOXIB (CELEBREX) </t>
  </si>
  <si>
    <t xml:space="preserve">(LACTULOSE) MOVELAX 3.3G/5ML </t>
  </si>
  <si>
    <t>(CO-AMOXICLAV) AUGMENTIN</t>
  </si>
  <si>
    <t>CONCUSSION; COMMOTIO CEREBRI( WITHOUT OPEN INTRACRANIAL WOUND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</si>
</sst>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34"/>
  <sheetViews>
    <sheetView topLeftCell="B1" zoomScale="115" zoomScaleNormal="115" workbookViewId="0">
      <selection activeCell="C23" sqref="C2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51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208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11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30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8.75" customHeight="1" x14ac:dyDescent="0.3">
      <c r="A19" s="1"/>
      <c r="B19" s="30">
        <v>1</v>
      </c>
      <c r="C19" s="31" t="s">
        <v>189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170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188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166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 t="s">
        <v>171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 t="s">
        <v>172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46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47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55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 t="s">
        <v>198</v>
      </c>
      <c r="D52" s="28"/>
      <c r="E52" s="55">
        <v>1</v>
      </c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 t="s">
        <v>199</v>
      </c>
      <c r="D53" s="28"/>
      <c r="E53" s="55">
        <v>1</v>
      </c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 t="s">
        <v>200</v>
      </c>
      <c r="D54" s="28"/>
      <c r="E54" s="55">
        <v>1</v>
      </c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 t="s">
        <v>201</v>
      </c>
      <c r="D55" s="28"/>
      <c r="E55" s="55">
        <v>2</v>
      </c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 t="s">
        <v>202</v>
      </c>
      <c r="D56" s="28"/>
      <c r="E56" s="55">
        <v>1</v>
      </c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7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8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9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10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11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5"/>
      <c r="C63" s="25"/>
      <c r="D63" s="25"/>
      <c r="E63" s="25"/>
      <c r="F63" s="2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57.75" customHeight="1" thickBot="1" x14ac:dyDescent="0.35">
      <c r="A65" s="1"/>
      <c r="B65" s="17" t="s">
        <v>57</v>
      </c>
      <c r="C65" s="17" t="s">
        <v>53</v>
      </c>
      <c r="D65" s="17" t="s">
        <v>58</v>
      </c>
      <c r="E65" s="18" t="s">
        <v>59</v>
      </c>
      <c r="F65" s="19" t="s">
        <v>21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2">
        <v>1</v>
      </c>
      <c r="C66" s="27" t="s">
        <v>22</v>
      </c>
      <c r="D66" s="55">
        <v>2800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2</v>
      </c>
      <c r="C67" s="27" t="s">
        <v>166</v>
      </c>
      <c r="D67" s="55">
        <v>127</v>
      </c>
      <c r="E67" s="55"/>
      <c r="F67" s="55">
        <v>3873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3</v>
      </c>
      <c r="C68" s="27" t="s">
        <v>171</v>
      </c>
      <c r="D68" s="55">
        <v>228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4</v>
      </c>
      <c r="C69" s="27" t="s">
        <v>172</v>
      </c>
      <c r="D69" s="55">
        <v>443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5</v>
      </c>
      <c r="C70" s="31" t="s">
        <v>167</v>
      </c>
      <c r="D70" s="55">
        <v>374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6</v>
      </c>
      <c r="C71" s="27" t="s">
        <v>168</v>
      </c>
      <c r="D71" s="55">
        <v>327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7</v>
      </c>
      <c r="C72" s="27" t="s">
        <v>169</v>
      </c>
      <c r="D72" s="55">
        <v>327</v>
      </c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8</v>
      </c>
      <c r="C73" s="27" t="s">
        <v>170</v>
      </c>
      <c r="D73" s="55">
        <v>320</v>
      </c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9</v>
      </c>
      <c r="C74" s="27" t="s">
        <v>188</v>
      </c>
      <c r="D74" s="55">
        <v>86</v>
      </c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10</v>
      </c>
      <c r="C75" s="27" t="s">
        <v>173</v>
      </c>
      <c r="D75" s="55">
        <v>201</v>
      </c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11</v>
      </c>
      <c r="C76" s="27" t="s">
        <v>174</v>
      </c>
      <c r="D76" s="55">
        <v>150</v>
      </c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12</v>
      </c>
      <c r="C77" s="27" t="s">
        <v>175</v>
      </c>
      <c r="D77" s="55">
        <v>303</v>
      </c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13</v>
      </c>
      <c r="C78" s="27" t="s">
        <v>187</v>
      </c>
      <c r="D78" s="55">
        <v>396</v>
      </c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0">
        <v>14</v>
      </c>
      <c r="C79" s="27" t="s">
        <v>176</v>
      </c>
      <c r="D79" s="55">
        <v>78</v>
      </c>
      <c r="E79" s="55"/>
      <c r="F79" s="55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0">
        <v>15</v>
      </c>
      <c r="C80" s="69" t="s">
        <v>177</v>
      </c>
      <c r="D80" s="55"/>
      <c r="E80" s="55"/>
      <c r="F80" s="55">
        <v>170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0">
        <v>16</v>
      </c>
      <c r="C81" s="69" t="s">
        <v>178</v>
      </c>
      <c r="D81" s="55"/>
      <c r="E81" s="55"/>
      <c r="F81" s="55">
        <v>579</v>
      </c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0">
        <v>17</v>
      </c>
      <c r="C82" s="69" t="s">
        <v>179</v>
      </c>
      <c r="D82" s="55"/>
      <c r="E82" s="55"/>
      <c r="F82" s="55">
        <v>73</v>
      </c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0">
        <v>18</v>
      </c>
      <c r="C83" s="69" t="s">
        <v>180</v>
      </c>
      <c r="D83" s="55"/>
      <c r="E83" s="55"/>
      <c r="F83" s="55">
        <v>139</v>
      </c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0">
        <v>19</v>
      </c>
      <c r="C84" s="69" t="s">
        <v>181</v>
      </c>
      <c r="D84" s="55"/>
      <c r="E84" s="55"/>
      <c r="F84" s="55">
        <v>261</v>
      </c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0">
        <v>20</v>
      </c>
      <c r="C85" s="69" t="s">
        <v>182</v>
      </c>
      <c r="D85" s="55"/>
      <c r="E85" s="55"/>
      <c r="F85" s="55">
        <v>348</v>
      </c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0">
        <v>21</v>
      </c>
      <c r="C86" s="69" t="s">
        <v>183</v>
      </c>
      <c r="D86" s="55"/>
      <c r="E86" s="55"/>
      <c r="F86" s="55">
        <v>157</v>
      </c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0">
        <v>22</v>
      </c>
      <c r="C87" s="69" t="s">
        <v>184</v>
      </c>
      <c r="D87" s="55"/>
      <c r="E87" s="55"/>
      <c r="F87" s="55">
        <v>350</v>
      </c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0">
        <v>23</v>
      </c>
      <c r="C88" s="69" t="s">
        <v>185</v>
      </c>
      <c r="D88" s="55"/>
      <c r="E88" s="55"/>
      <c r="F88" s="55">
        <v>231</v>
      </c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0">
        <v>24</v>
      </c>
      <c r="C89" s="69" t="s">
        <v>186</v>
      </c>
      <c r="D89" s="55"/>
      <c r="E89" s="55"/>
      <c r="F89" s="55">
        <v>21</v>
      </c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0">
        <v>25</v>
      </c>
      <c r="C90" s="27" t="s">
        <v>198</v>
      </c>
      <c r="D90" s="55"/>
      <c r="E90" s="55"/>
      <c r="F90" s="55">
        <v>500</v>
      </c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0">
        <v>26</v>
      </c>
      <c r="C91" s="27" t="s">
        <v>199</v>
      </c>
      <c r="D91" s="55"/>
      <c r="E91" s="55"/>
      <c r="F91" s="55">
        <v>550</v>
      </c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0">
        <v>27</v>
      </c>
      <c r="C92" s="27" t="s">
        <v>200</v>
      </c>
      <c r="D92" s="55"/>
      <c r="E92" s="55"/>
      <c r="F92" s="55">
        <v>500</v>
      </c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0">
        <v>28</v>
      </c>
      <c r="C93" s="27" t="s">
        <v>201</v>
      </c>
      <c r="D93" s="55"/>
      <c r="E93" s="55"/>
      <c r="F93" s="55">
        <v>75</v>
      </c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0">
        <v>29</v>
      </c>
      <c r="C94" s="27" t="s">
        <v>202</v>
      </c>
      <c r="D94" s="55"/>
      <c r="E94" s="55"/>
      <c r="F94" s="55">
        <v>300</v>
      </c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0">
        <v>30</v>
      </c>
      <c r="C95" s="27"/>
      <c r="D95" s="55"/>
      <c r="E95" s="55"/>
      <c r="F95" s="55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4.9000000000000004" customHeight="1" thickBot="1" x14ac:dyDescent="0.35">
      <c r="A96" s="1"/>
      <c r="B96" s="1"/>
      <c r="C96" s="1"/>
      <c r="D96" s="58"/>
      <c r="E96" s="58"/>
      <c r="F96" s="58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thickTop="1" x14ac:dyDescent="0.3">
      <c r="A97" s="1"/>
      <c r="B97" s="11"/>
      <c r="C97" s="4" t="s">
        <v>23</v>
      </c>
      <c r="D97" s="59">
        <f>SUM(D66:D96)</f>
        <v>6160</v>
      </c>
      <c r="E97" s="59">
        <f>SUM(E66:E96)</f>
        <v>0</v>
      </c>
      <c r="F97" s="59">
        <f>SUM(F66:F96)</f>
        <v>8127</v>
      </c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ht="13.5" customHeight="1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1:25" ht="13.5" customHeight="1" x14ac:dyDescent="0.3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  <row r="1020" spans="1:25" ht="13.5" customHeight="1" x14ac:dyDescent="0.3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</row>
    <row r="1021" spans="1:25" ht="13.5" customHeight="1" x14ac:dyDescent="0.3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</row>
    <row r="1022" spans="1:25" ht="13.5" customHeight="1" x14ac:dyDescent="0.3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</row>
    <row r="1023" spans="1:25" ht="13.5" customHeight="1" x14ac:dyDescent="0.3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</row>
    <row r="1024" spans="1:25" ht="13.5" customHeight="1" x14ac:dyDescent="0.3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</row>
    <row r="1025" spans="1:25" ht="13.5" customHeight="1" x14ac:dyDescent="0.3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</row>
    <row r="1026" spans="1:25" ht="13.5" customHeight="1" x14ac:dyDescent="0.3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</row>
    <row r="1027" spans="1:25" ht="13.5" customHeight="1" x14ac:dyDescent="0.3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</row>
    <row r="1028" spans="1:25" ht="13.5" customHeight="1" x14ac:dyDescent="0.3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</row>
    <row r="1029" spans="1:25" ht="13.5" customHeight="1" x14ac:dyDescent="0.3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</row>
    <row r="1030" spans="1:25" ht="13.5" customHeight="1" x14ac:dyDescent="0.3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</row>
    <row r="1031" spans="1:25" ht="13.5" customHeight="1" x14ac:dyDescent="0.3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</row>
    <row r="1032" spans="1:25" ht="13.5" customHeight="1" x14ac:dyDescent="0.3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</row>
    <row r="1033" spans="1:25" ht="13.5" customHeight="1" x14ac:dyDescent="0.3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</row>
    <row r="1034" spans="1:25" ht="13.5" customHeight="1" x14ac:dyDescent="0.3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</row>
  </sheetData>
  <sheetProtection password="C2E9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62 E34:E38 D66:F66 D68:F95 E67:F67">
      <formula1>0</formula1>
    </dataValidation>
  </dataValidations>
  <pageMargins left="0.7" right="0.7" top="0.75" bottom="0.75" header="0" footer="0"/>
  <pageSetup paperSize="5" scale="98" orientation="landscape" r:id="rId1"/>
  <rowBreaks count="1" manualBreakCount="1">
    <brk id="6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115" zoomScaleNormal="115" workbookViewId="0">
      <selection activeCell="A17" sqref="A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CONCUSSION; COMMOTIO CEREBRI( WITHOUT OPEN INTRACRANIAL WOUND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190</v>
      </c>
      <c r="D11" s="27" t="s">
        <v>191</v>
      </c>
      <c r="E11" s="27" t="s">
        <v>192</v>
      </c>
      <c r="F11" s="55">
        <v>1</v>
      </c>
      <c r="G11" s="55">
        <v>1</v>
      </c>
      <c r="H11" s="55">
        <v>1</v>
      </c>
      <c r="I11" s="55">
        <v>63.68</v>
      </c>
      <c r="J11" s="55">
        <f>H11*I11</f>
        <v>63.68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207</v>
      </c>
      <c r="D12" s="27" t="s">
        <v>193</v>
      </c>
      <c r="E12" s="27" t="s">
        <v>194</v>
      </c>
      <c r="F12" s="55">
        <v>1</v>
      </c>
      <c r="G12" s="55">
        <v>2</v>
      </c>
      <c r="H12" s="55">
        <v>2</v>
      </c>
      <c r="I12" s="55">
        <v>43.86</v>
      </c>
      <c r="J12" s="55">
        <f t="shared" ref="J12:J15" si="0">H12*I12</f>
        <v>87.72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205</v>
      </c>
      <c r="D13" s="27" t="s">
        <v>193</v>
      </c>
      <c r="E13" s="27" t="s">
        <v>196</v>
      </c>
      <c r="F13" s="55">
        <v>2</v>
      </c>
      <c r="G13" s="55">
        <v>5</v>
      </c>
      <c r="H13" s="55">
        <v>3</v>
      </c>
      <c r="I13" s="55">
        <v>61.5</v>
      </c>
      <c r="J13" s="55">
        <f t="shared" si="0"/>
        <v>184.5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20.25" customHeight="1" x14ac:dyDescent="0.3">
      <c r="B14" s="42">
        <v>4</v>
      </c>
      <c r="C14" s="27" t="s">
        <v>206</v>
      </c>
      <c r="D14" s="27" t="s">
        <v>203</v>
      </c>
      <c r="E14" s="27" t="s">
        <v>195</v>
      </c>
      <c r="F14" s="55">
        <v>1</v>
      </c>
      <c r="G14" s="55">
        <v>1</v>
      </c>
      <c r="H14" s="55">
        <v>1</v>
      </c>
      <c r="I14" s="55">
        <v>278.32</v>
      </c>
      <c r="J14" s="55">
        <f t="shared" si="0"/>
        <v>278.32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204</v>
      </c>
      <c r="D15" s="27" t="s">
        <v>193</v>
      </c>
      <c r="E15" s="27" t="s">
        <v>197</v>
      </c>
      <c r="F15" s="55">
        <v>2</v>
      </c>
      <c r="G15" s="55">
        <v>5</v>
      </c>
      <c r="H15" s="55">
        <v>3</v>
      </c>
      <c r="I15" s="55">
        <v>43.95</v>
      </c>
      <c r="J15" s="55">
        <f t="shared" si="0"/>
        <v>131.85000000000002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5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D25" sqref="D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CONCUSSION; COMMOTIO CEREBRI( WITHOUT OPEN INTRACRANIAL WOUND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24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25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26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27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28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29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/>
      <c r="E16" s="55">
        <v>1</v>
      </c>
      <c r="F16" s="55">
        <v>49.51</v>
      </c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/>
      <c r="E17" s="55">
        <v>1</v>
      </c>
      <c r="F17" s="55">
        <v>134.62</v>
      </c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/>
      <c r="E18" s="55">
        <v>1</v>
      </c>
      <c r="F18" s="55">
        <v>20.84</v>
      </c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180</v>
      </c>
      <c r="D19" s="70"/>
      <c r="E19" s="55">
        <v>1</v>
      </c>
      <c r="F19" s="55">
        <v>79.430000000000007</v>
      </c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181</v>
      </c>
      <c r="D20" s="70"/>
      <c r="E20" s="55">
        <v>1</v>
      </c>
      <c r="F20" s="55">
        <v>115.82</v>
      </c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182</v>
      </c>
      <c r="D21" s="70"/>
      <c r="E21" s="55">
        <v>1</v>
      </c>
      <c r="F21" s="55">
        <v>57.79</v>
      </c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183</v>
      </c>
      <c r="D22" s="70"/>
      <c r="E22" s="55">
        <v>1</v>
      </c>
      <c r="F22" s="55">
        <v>44.84</v>
      </c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184</v>
      </c>
      <c r="D23" s="70"/>
      <c r="E23" s="55">
        <v>1</v>
      </c>
      <c r="F23" s="55">
        <v>111.3</v>
      </c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185</v>
      </c>
      <c r="D24" s="70"/>
      <c r="E24" s="55">
        <v>1</v>
      </c>
      <c r="F24" s="55">
        <v>106</v>
      </c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186</v>
      </c>
      <c r="D25" s="70"/>
      <c r="E25" s="55">
        <v>1</v>
      </c>
      <c r="F25" s="55">
        <v>5.28</v>
      </c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78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8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9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20" sqref="H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CONCUSSION; COMMOTIO CEREBRI( WITHOUT OPEN INTRACRANIAL WOUND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>
        <v>360</v>
      </c>
      <c r="H13" s="55"/>
      <c r="I13" s="55">
        <v>360</v>
      </c>
      <c r="J13" s="55"/>
      <c r="K13" s="55"/>
      <c r="L13" s="55"/>
      <c r="M13" s="55"/>
      <c r="N13" s="55"/>
      <c r="P13" s="88">
        <f>SUM(D13:N13)</f>
        <v>720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120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480</v>
      </c>
      <c r="H30" s="88">
        <f t="shared" si="1"/>
        <v>0</v>
      </c>
      <c r="I30" s="88">
        <f t="shared" si="1"/>
        <v>360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840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5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MY PC</cp:lastModifiedBy>
  <cp:lastPrinted>2018-05-26T01:27:55Z</cp:lastPrinted>
  <dcterms:created xsi:type="dcterms:W3CDTF">2018-05-11T08:46:15Z</dcterms:created>
  <dcterms:modified xsi:type="dcterms:W3CDTF">2018-06-07T05:29:44Z</dcterms:modified>
</cp:coreProperties>
</file>