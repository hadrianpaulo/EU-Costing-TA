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60" windowWidth="15525" windowHeight="6990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  <definedName name="_xlnm.Print_Area" localSheetId="0">'11.1 Hospital Information'!$A$1:$BT$53</definedName>
    <definedName name="_xlnm.Print_Area" localSheetId="1">'11.2 Summary Statistics'!$B$2:$G$28</definedName>
    <definedName name="_xlnm.Print_Area" localSheetId="2">'11.3 Discharge&amp;Beddays'!$A$1:$AK$24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comments1.xml><?xml version="1.0" encoding="utf-8"?>
<comments xmlns="http://schemas.openxmlformats.org/spreadsheetml/2006/main">
  <authors>
    <author>julienne</author>
  </authors>
  <commentList>
    <comment ref="B28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<sst xmlns="http://schemas.openxmlformats.org/spreadsheetml/2006/main" count="218" uniqueCount="137">
  <si>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</si>
  <si>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</si>
  <si>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</si>
  <si>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</si>
  <si>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</si>
  <si>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</si>
  <si>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</si>
  <si>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</si>
  <si>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</si>
  <si>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</si>
  <si>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</si>
  <si>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</si>
  <si>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</si>
  <si>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</si>
  <si>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</si>
  <si>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</si>
  <si>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</si>
  <si>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</si>
  <si>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</si>
  <si>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</si>
  <si>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</si>
  <si>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</si>
  <si>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</si>
  <si>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</si>
  <si>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</si>
  <si>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</si>
  <si>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</si>
  <si>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</si>
  <si>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</si>
  <si>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</si>
  <si>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</si>
  <si>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</si>
  <si>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</si>
  <si>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</si>
  <si>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</si>
  <si>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</si>
  <si>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</si>
  <si>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</si>
  <si>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</si>
  <si>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</si>
  <si>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</si>
  <si>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</si>
  <si>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</si>
  <si>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</si>
  <si>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</si>
  <si>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</si>
  <si>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</si>
  <si>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</si>
  <si>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</si>
  <si>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</si>
  <si>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</si>
  <si>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</si>
  <si>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</si>
  <si>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</si>
  <si>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</si>
  <si>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</si>
  <si>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</si>
  <si>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</si>
  <si>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</si>
  <si>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</si>
  <si>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</si>
  <si>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</si>
  <si>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</si>
  <si>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</si>
  <si>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</si>
  <si>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</si>
  <si>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</si>
  <si>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</si>
  <si>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</si>
  <si>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</si>
  <si>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</si>
  <si>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</si>
  <si>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</si>
  <si>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</si>
  <si>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</si>
  <si>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</si>
  <si>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</si>
  <si>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</si>
  <si>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</si>
  <si>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</si>
  <si>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</si>
  <si>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</si>
  <si>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</si>
  <si>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</si>
  <si>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</si>
  <si>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</si>
  <si>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</si>
  <si>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</si>
  <si>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</si>
  <si>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</si>
  <si>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</si>
  <si>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</si>
  <si>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</si>
  <si>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</si>
  <si>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</si>
  <si>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</si>
  <si>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</si>
  <si>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</si>
  <si>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</si>
  <si>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</si>
  <si>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</si>
  <si>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</si>
  <si>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</si>
  <si>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</si>
  <si>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</si>
  <si>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</si>
  <si>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</si>
  <si>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</si>
  <si>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</si>
  <si>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</si>
  <si>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</si>
  <si>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Our lady of Mt. Carmel Medical Center-Clark</t>
  </si>
  <si>
    <t>Lot 4 Ninoy Aquino Ave,CFZ,Philippines</t>
  </si>
  <si>
    <t>Corp.</t>
  </si>
  <si>
    <t>..</t>
  </si>
  <si>
    <t>…</t>
  </si>
  <si>
    <t>NEWBORN</t>
  </si>
  <si>
    <t>PNEUMONIA</t>
  </si>
  <si>
    <t>DIABETES MELLITUS II</t>
  </si>
  <si>
    <t>ACUTE GASTRO ENTERITIS</t>
  </si>
  <si>
    <t>HYPERTENSION II</t>
  </si>
  <si>
    <t>CHRONIC KIDNEY DISEASE</t>
  </si>
  <si>
    <t>BRONCHITIS</t>
  </si>
  <si>
    <t>UTI</t>
  </si>
  <si>
    <t>CHOLECYSTOLETHIASIS</t>
  </si>
  <si>
    <t>ASTHMA</t>
  </si>
  <si>
    <t>ADENOMOUS GOITER</t>
  </si>
  <si>
    <t>J18.9</t>
  </si>
  <si>
    <t>E11.9</t>
  </si>
  <si>
    <t>A09.9</t>
  </si>
  <si>
    <t>I10.9</t>
  </si>
  <si>
    <t>N03.9</t>
  </si>
  <si>
    <t>J40</t>
  </si>
  <si>
    <t>N39.9</t>
  </si>
  <si>
    <t>K80.9</t>
  </si>
  <si>
    <t>J45.90</t>
  </si>
  <si>
    <t>E04.9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</si>
</sst>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3</xdr:col>
          <xdr:colOff>0</xdr:colOff>
          <xdr:row>8</xdr:row>
          <xdr:rowOff>161925</xdr:rowOff>
        </xdr:to>
        <xdr:sp macro="" textlink="">
          <xdr:nvSpPr>
            <xdr:cNvPr id="1027" name="SelectIIandII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abSelected="1" view="pageBreakPreview" zoomScale="20" zoomScaleNormal="80" zoomScaleSheetLayoutView="20" workbookViewId="0">
      <selection activeCell="CP52" sqref="CP52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hidden="1" customWidth="1"/>
    <col min="15" max="17" width="9.5703125" style="4" hidden="1" customWidth="1"/>
    <col min="18" max="23" width="9.5703125" style="2" hidden="1" customWidth="1"/>
    <col min="24" max="32" width="9.5703125" style="4" hidden="1" customWidth="1"/>
    <col min="33" max="35" width="9.5703125" style="2" hidden="1" customWidth="1"/>
    <col min="36" max="36" width="2.140625" style="2" customWidth="1"/>
    <col min="37" max="46" width="9.5703125" style="2" customWidth="1"/>
    <col min="47" max="51" width="9.5703125" style="4" customWidth="1"/>
    <col min="52" max="56" width="9.5703125" style="2" customWidth="1"/>
    <col min="57" max="65" width="9.5703125" style="4" customWidth="1"/>
    <col min="66" max="72" width="9.5703125" style="2" customWidth="1"/>
    <col min="73" max="73" width="10.5703125" style="4" customWidth="1"/>
    <col min="74" max="16384" width="8.7109375" style="2"/>
  </cols>
  <sheetData>
    <row r="2" spans="1:85" s="11" customFormat="1" ht="14.25" customHeight="1" x14ac:dyDescent="0.35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ht="14.1" x14ac:dyDescent="0.3">
      <c r="B4" s="15" t="s">
        <v>27</v>
      </c>
      <c r="C4" s="16"/>
    </row>
    <row r="5" spans="1:85" ht="14.1" x14ac:dyDescent="0.3">
      <c r="B5" s="17" t="s">
        <v>25</v>
      </c>
      <c r="C5" s="18"/>
    </row>
    <row r="6" spans="1:85" ht="14.1" x14ac:dyDescent="0.3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ht="14.1" x14ac:dyDescent="0.3">
      <c r="B7" s="33" t="s">
        <v>32</v>
      </c>
      <c r="C7" s="13">
        <v>2017</v>
      </c>
    </row>
    <row r="8" spans="1:85" s="23" customFormat="1" ht="14.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ht="14.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ht="14.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ht="14.1" x14ac:dyDescent="0.3">
      <c r="B11" s="21" t="s">
        <v>15</v>
      </c>
      <c r="C11" s="22"/>
    </row>
    <row r="12" spans="1:85" x14ac:dyDescent="0.3">
      <c r="B12" s="3" t="s">
        <v>0</v>
      </c>
      <c r="C12" s="12" t="s">
        <v>111</v>
      </c>
      <c r="BU12" s="44"/>
    </row>
    <row r="13" spans="1:85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>
        <v>3</v>
      </c>
    </row>
    <row r="15" spans="1:85" x14ac:dyDescent="0.3">
      <c r="B15" s="3" t="s">
        <v>3</v>
      </c>
      <c r="C15" s="12">
        <v>2</v>
      </c>
    </row>
    <row r="16" spans="1:85" x14ac:dyDescent="0.3">
      <c r="B16" s="3" t="s">
        <v>4</v>
      </c>
      <c r="C16" s="12" t="s">
        <v>113</v>
      </c>
    </row>
    <row r="17" spans="2:3" ht="14.1" x14ac:dyDescent="0.3">
      <c r="B17" s="3" t="s">
        <v>5</v>
      </c>
      <c r="C17" s="14">
        <v>50</v>
      </c>
    </row>
    <row r="18" spans="2:3" ht="14.1" x14ac:dyDescent="0.3">
      <c r="B18" s="3" t="s">
        <v>6</v>
      </c>
      <c r="C18" s="14">
        <v>50</v>
      </c>
    </row>
    <row r="20" spans="2:3" ht="14.1" x14ac:dyDescent="0.3">
      <c r="B20" s="21" t="s">
        <v>21</v>
      </c>
      <c r="C20" s="21"/>
    </row>
    <row r="21" spans="2:3" ht="14.1" x14ac:dyDescent="0.3">
      <c r="B21" s="6" t="s">
        <v>7</v>
      </c>
      <c r="C21" s="14">
        <v>50</v>
      </c>
    </row>
    <row r="22" spans="2:3" ht="14.1" x14ac:dyDescent="0.3">
      <c r="B22" s="6" t="s">
        <v>8</v>
      </c>
      <c r="C22" s="14">
        <v>50</v>
      </c>
    </row>
    <row r="23" spans="2:3" ht="14.1" x14ac:dyDescent="0.3">
      <c r="B23" s="6" t="s">
        <v>9</v>
      </c>
      <c r="C23" s="14">
        <v>9965</v>
      </c>
    </row>
    <row r="24" spans="2:3" ht="14.1" x14ac:dyDescent="0.3">
      <c r="B24" s="6" t="s">
        <v>22</v>
      </c>
      <c r="C24" s="14">
        <v>3572</v>
      </c>
    </row>
    <row r="25" spans="2:3" ht="14.1" x14ac:dyDescent="0.3">
      <c r="B25" s="6" t="s">
        <v>10</v>
      </c>
      <c r="C25" s="14">
        <v>997</v>
      </c>
    </row>
    <row r="26" spans="2:3" ht="14.1" x14ac:dyDescent="0.3">
      <c r="B26" s="6" t="s">
        <v>11</v>
      </c>
      <c r="C26" s="14">
        <v>981</v>
      </c>
    </row>
    <row r="27" spans="2:3" ht="14.1" x14ac:dyDescent="0.3">
      <c r="B27" s="6" t="s">
        <v>12</v>
      </c>
      <c r="C27" s="14">
        <v>16</v>
      </c>
    </row>
    <row r="28" spans="2:3" ht="14.1" x14ac:dyDescent="0.3">
      <c r="B28" s="6" t="s">
        <v>28</v>
      </c>
      <c r="C28" s="14">
        <v>3581</v>
      </c>
    </row>
    <row r="29" spans="2:3" ht="14.1" x14ac:dyDescent="0.3">
      <c r="B29" s="6" t="s">
        <v>13</v>
      </c>
      <c r="C29" s="34">
        <f>IFERROR(C28/C21,"Calculated automatically")</f>
        <v>71.62</v>
      </c>
    </row>
    <row r="30" spans="2:3" ht="14.1" x14ac:dyDescent="0.3">
      <c r="B30" s="6" t="s">
        <v>14</v>
      </c>
      <c r="C30" s="35">
        <f>IFERROR(C28/(C26+C27),"Calculated automatically")</f>
        <v>3.5917753259779337</v>
      </c>
    </row>
    <row r="32" spans="2:3" ht="14.1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>
        <v>5</v>
      </c>
    </row>
    <row r="34" spans="2:72" x14ac:dyDescent="0.3">
      <c r="B34" s="42" t="s">
        <v>79</v>
      </c>
      <c r="C34" s="12">
        <v>312</v>
      </c>
    </row>
    <row r="35" spans="2:72" x14ac:dyDescent="0.3">
      <c r="B35" s="42" t="s">
        <v>80</v>
      </c>
      <c r="C35" s="12">
        <v>14</v>
      </c>
    </row>
    <row r="36" spans="2:72" x14ac:dyDescent="0.3">
      <c r="B36" s="42" t="s">
        <v>81</v>
      </c>
      <c r="C36" s="12">
        <v>1695</v>
      </c>
    </row>
    <row r="37" spans="2:72" x14ac:dyDescent="0.3">
      <c r="B37" s="42" t="s">
        <v>82</v>
      </c>
      <c r="C37" s="12">
        <v>1090</v>
      </c>
    </row>
    <row r="38" spans="2:72" x14ac:dyDescent="0.3">
      <c r="B38" s="42" t="s">
        <v>83</v>
      </c>
      <c r="C38" s="12">
        <v>13614</v>
      </c>
    </row>
    <row r="39" spans="2:72" x14ac:dyDescent="0.3">
      <c r="B39" s="42" t="s">
        <v>84</v>
      </c>
      <c r="C39" s="12">
        <v>15415</v>
      </c>
    </row>
    <row r="40" spans="2:72" x14ac:dyDescent="0.3">
      <c r="B40" s="42" t="s">
        <v>85</v>
      </c>
      <c r="C40" s="12">
        <v>15415</v>
      </c>
    </row>
    <row r="41" spans="2:72" x14ac:dyDescent="0.3">
      <c r="B41" s="42" t="s">
        <v>86</v>
      </c>
      <c r="C41" s="12">
        <v>15415</v>
      </c>
    </row>
    <row r="42" spans="2:72" x14ac:dyDescent="0.3">
      <c r="B42" s="42" t="s">
        <v>87</v>
      </c>
      <c r="C42" s="12">
        <v>15415</v>
      </c>
    </row>
    <row r="43" spans="2:72" x14ac:dyDescent="0.3">
      <c r="B43" s="42" t="s">
        <v>88</v>
      </c>
      <c r="C43" s="12">
        <v>15415</v>
      </c>
    </row>
    <row r="44" spans="2:72" x14ac:dyDescent="0.3">
      <c r="B44" s="42" t="s">
        <v>89</v>
      </c>
      <c r="C44" s="12">
        <v>15415</v>
      </c>
    </row>
    <row r="45" spans="2:72" x14ac:dyDescent="0.3">
      <c r="B45" s="42" t="s">
        <v>90</v>
      </c>
      <c r="C45" s="12">
        <v>15415</v>
      </c>
    </row>
    <row r="47" spans="2:72" x14ac:dyDescent="0.3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 x14ac:dyDescent="0.3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96" thickBot="1" x14ac:dyDescent="0.35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12" t="s">
        <v>115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>
        <v>129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>
        <v>8</v>
      </c>
      <c r="AV51" s="14"/>
      <c r="AW51" s="14"/>
      <c r="AX51" s="14"/>
      <c r="AY51" s="14"/>
      <c r="AZ51" s="14"/>
      <c r="BA51" s="14"/>
      <c r="BB51" s="14"/>
      <c r="BC51" s="14"/>
      <c r="BD51" s="14">
        <v>2</v>
      </c>
      <c r="BE51" s="14"/>
      <c r="BF51" s="14"/>
      <c r="BG51" s="14"/>
      <c r="BH51" s="14"/>
      <c r="BI51" s="14">
        <v>93</v>
      </c>
      <c r="BJ51" s="14"/>
      <c r="BK51" s="14"/>
      <c r="BL51" s="14"/>
      <c r="BM51" s="14"/>
      <c r="BN51" s="14">
        <v>26</v>
      </c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12">
        <v>2991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>
        <v>2991</v>
      </c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12" t="s">
        <v>114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HfrdK3ousaswMRddq2ZtHZRPr53dNeB2xQQ08Qof5UcAHQXrqZXYMW9nnAYTJ+3wsG5zDiN12AtjK4cPpNEoog==" saltValue="YhlHKzJADbQ7VYgiSFRWXA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5" scale="36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3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view="pageBreakPreview" zoomScaleNormal="80" zoomScaleSheetLayoutView="100" workbookViewId="0">
      <selection activeCell="I10" sqref="I10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5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4.1" x14ac:dyDescent="0.3"/>
    <row r="4" spans="1:15" s="2" customFormat="1" ht="25.5" customHeight="1" x14ac:dyDescent="0.3">
      <c r="B4" s="62" t="s">
        <v>94</v>
      </c>
      <c r="C4" s="63"/>
      <c r="D4" s="64" t="s">
        <v>96</v>
      </c>
      <c r="E4" s="64"/>
    </row>
    <row r="5" spans="1:15" s="2" customFormat="1" ht="16.5" x14ac:dyDescent="0.3">
      <c r="B5" s="17" t="s">
        <v>95</v>
      </c>
      <c r="C5" s="18"/>
      <c r="D5" s="64"/>
      <c r="E5" s="64"/>
    </row>
    <row r="6" spans="1:15" s="2" customFormat="1" ht="16.5" x14ac:dyDescent="0.3">
      <c r="B6" s="48" t="s">
        <v>30</v>
      </c>
      <c r="C6" s="49"/>
      <c r="D6" s="64"/>
      <c r="E6" s="64"/>
    </row>
    <row r="7" spans="1:15" s="2" customFormat="1" ht="16.5" x14ac:dyDescent="0.3">
      <c r="B7" s="33" t="s">
        <v>32</v>
      </c>
      <c r="C7" s="13">
        <v>2017</v>
      </c>
      <c r="D7" s="64"/>
      <c r="E7" s="64"/>
    </row>
    <row r="9" spans="1:15" ht="15" customHeight="1" x14ac:dyDescent="0.2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 x14ac:dyDescent="0.2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3"/>
    <row r="12" spans="1:15" s="28" customFormat="1" ht="14.45" hidden="1" x14ac:dyDescent="0.35">
      <c r="B12" s="37" t="s">
        <v>44</v>
      </c>
      <c r="C12" s="14"/>
      <c r="D12" s="14"/>
      <c r="E12" s="14"/>
      <c r="F12" s="14"/>
      <c r="G12" s="14"/>
    </row>
    <row r="13" spans="1:15" s="28" customFormat="1" ht="14.45" hidden="1" x14ac:dyDescent="0.35">
      <c r="B13" s="37" t="s">
        <v>38</v>
      </c>
      <c r="C13" s="14"/>
      <c r="D13" s="14"/>
      <c r="E13" s="14"/>
      <c r="F13" s="14"/>
      <c r="G13" s="14"/>
    </row>
    <row r="14" spans="1:15" s="28" customFormat="1" ht="14.45" hidden="1" x14ac:dyDescent="0.35">
      <c r="B14" s="37" t="s">
        <v>39</v>
      </c>
      <c r="C14" s="14"/>
      <c r="D14" s="14"/>
      <c r="E14" s="14"/>
      <c r="F14" s="14"/>
      <c r="G14" s="14"/>
    </row>
    <row r="15" spans="1:15" s="28" customFormat="1" ht="14.45" hidden="1" x14ac:dyDescent="0.35">
      <c r="B15" s="37" t="s">
        <v>45</v>
      </c>
      <c r="C15" s="14"/>
      <c r="D15" s="14"/>
      <c r="E15" s="14"/>
      <c r="F15" s="14"/>
      <c r="G15" s="14"/>
    </row>
    <row r="16" spans="1:15" s="28" customFormat="1" ht="14.45" hidden="1" x14ac:dyDescent="0.35">
      <c r="B16" s="37" t="s">
        <v>40</v>
      </c>
      <c r="C16" s="14"/>
      <c r="D16" s="14"/>
      <c r="E16" s="14"/>
      <c r="F16" s="14"/>
      <c r="G16" s="14"/>
    </row>
    <row r="17" spans="2:7" s="28" customFormat="1" ht="14.45" hidden="1" x14ac:dyDescent="0.35">
      <c r="B17" s="39" t="s">
        <v>72</v>
      </c>
      <c r="C17" s="14"/>
      <c r="D17" s="14"/>
      <c r="E17" s="14"/>
      <c r="F17" s="14"/>
      <c r="G17" s="14"/>
    </row>
    <row r="18" spans="2:7" ht="3.4" customHeight="1" x14ac:dyDescent="0.3"/>
    <row r="19" spans="2:7" ht="14.1" x14ac:dyDescent="0.3">
      <c r="B19" s="38" t="s">
        <v>44</v>
      </c>
      <c r="C19" s="14">
        <v>2700</v>
      </c>
      <c r="D19" s="14">
        <v>751</v>
      </c>
      <c r="E19" s="14">
        <v>751</v>
      </c>
      <c r="F19" s="14">
        <v>16</v>
      </c>
      <c r="G19" s="14">
        <v>3.6</v>
      </c>
    </row>
    <row r="20" spans="2:7" ht="14.1" x14ac:dyDescent="0.3">
      <c r="B20" s="38" t="s">
        <v>38</v>
      </c>
      <c r="C20" s="14">
        <v>346</v>
      </c>
      <c r="D20" s="14">
        <v>96</v>
      </c>
      <c r="E20" s="14">
        <v>96</v>
      </c>
      <c r="F20" s="14">
        <v>0</v>
      </c>
      <c r="G20" s="14">
        <v>3.6</v>
      </c>
    </row>
    <row r="21" spans="2:7" ht="14.1" x14ac:dyDescent="0.3">
      <c r="B21" s="38" t="s">
        <v>39</v>
      </c>
      <c r="C21" s="14">
        <v>413</v>
      </c>
      <c r="D21" s="14">
        <v>115</v>
      </c>
      <c r="E21" s="14">
        <v>115</v>
      </c>
      <c r="F21" s="14">
        <v>0</v>
      </c>
      <c r="G21" s="14">
        <v>3</v>
      </c>
    </row>
    <row r="22" spans="2:7" ht="14.1" x14ac:dyDescent="0.3">
      <c r="B22" s="38" t="s">
        <v>45</v>
      </c>
      <c r="C22" s="14">
        <v>75</v>
      </c>
      <c r="D22" s="14">
        <v>21</v>
      </c>
      <c r="E22" s="14">
        <v>21</v>
      </c>
      <c r="F22" s="14">
        <v>0</v>
      </c>
      <c r="G22" s="14">
        <v>3.6</v>
      </c>
    </row>
    <row r="23" spans="2:7" ht="14.1" x14ac:dyDescent="0.3">
      <c r="B23" s="38" t="s">
        <v>40</v>
      </c>
      <c r="C23" s="14"/>
      <c r="D23" s="14"/>
      <c r="E23" s="14"/>
      <c r="F23" s="14"/>
      <c r="G23" s="14"/>
    </row>
    <row r="24" spans="2:7" ht="14.1" x14ac:dyDescent="0.3">
      <c r="B24" s="38" t="s">
        <v>46</v>
      </c>
      <c r="C24" s="14"/>
      <c r="D24" s="14"/>
      <c r="E24" s="14"/>
      <c r="F24" s="14"/>
      <c r="G24" s="14"/>
    </row>
    <row r="25" spans="2:7" ht="14.1" x14ac:dyDescent="0.3">
      <c r="B25" s="38" t="s">
        <v>47</v>
      </c>
      <c r="C25" s="14"/>
      <c r="D25" s="14"/>
      <c r="E25" s="14"/>
      <c r="F25" s="14"/>
      <c r="G25" s="14"/>
    </row>
    <row r="26" spans="2:7" ht="14.1" x14ac:dyDescent="0.3">
      <c r="B26" s="38" t="s">
        <v>48</v>
      </c>
      <c r="C26" s="14"/>
      <c r="D26" s="14"/>
      <c r="E26" s="14"/>
      <c r="F26" s="14"/>
      <c r="G26" s="14"/>
    </row>
    <row r="27" spans="2:7" ht="14.1" x14ac:dyDescent="0.3">
      <c r="B27" s="38" t="s">
        <v>49</v>
      </c>
      <c r="C27" s="14"/>
      <c r="D27" s="14"/>
      <c r="E27" s="14"/>
      <c r="F27" s="14"/>
      <c r="G27" s="14"/>
    </row>
    <row r="28" spans="2:7" ht="16.5" x14ac:dyDescent="0.3">
      <c r="B28" s="39" t="s">
        <v>116</v>
      </c>
      <c r="C28" s="14">
        <v>47</v>
      </c>
      <c r="D28" s="14">
        <v>14</v>
      </c>
      <c r="E28" s="14">
        <v>14</v>
      </c>
      <c r="F28" s="14">
        <v>0</v>
      </c>
      <c r="G28" s="14">
        <v>3.6</v>
      </c>
    </row>
  </sheetData>
  <sheetProtection algorithmName="SHA-512" hashValue="f7Dc8dVJOsieBEGzyUwUxCIUjdytzDRBgh57egnBLcqIOUrv2WJPfHep6vmRrZPOReaqKZVqU+lTFtf5hdjc0A==" saltValue="oWhZ3siXa7Xao9GymmPkqQ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5" scale="95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24"/>
  <sheetViews>
    <sheetView view="pageBreakPreview" topLeftCell="D1" zoomScale="60" zoomScaleNormal="30" workbookViewId="0">
      <selection sqref="A1:AK24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hidden="1" customWidth="1"/>
    <col min="21" max="21" width="1.5703125" style="2" customWidth="1"/>
    <col min="22" max="37" width="9.5703125" style="2" customWidth="1"/>
    <col min="38" max="16384" width="8.7109375" style="2"/>
  </cols>
  <sheetData>
    <row r="2" spans="2:37" ht="14.1" x14ac:dyDescent="0.3">
      <c r="B2" s="1" t="s">
        <v>24</v>
      </c>
    </row>
    <row r="4" spans="2:37" ht="14.1" hidden="1" outlineLevel="1" x14ac:dyDescent="0.3">
      <c r="B4" s="2" t="s">
        <v>75</v>
      </c>
      <c r="C4" s="2">
        <v>11</v>
      </c>
    </row>
    <row r="5" spans="2:37" ht="14.1" collapsed="1" x14ac:dyDescent="0.3">
      <c r="B5" s="15" t="s">
        <v>37</v>
      </c>
      <c r="C5" s="30"/>
      <c r="D5" s="30"/>
      <c r="E5" s="30"/>
      <c r="F5" s="30"/>
      <c r="G5" s="30"/>
    </row>
    <row r="6" spans="2:37" ht="14.1" x14ac:dyDescent="0.3">
      <c r="B6" s="17" t="s">
        <v>29</v>
      </c>
      <c r="C6" s="31"/>
      <c r="D6" s="31"/>
      <c r="E6" s="31"/>
      <c r="F6" s="31"/>
      <c r="G6" s="31"/>
    </row>
    <row r="7" spans="2:37" ht="14.1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ht="14.1" x14ac:dyDescent="0.3">
      <c r="B9" s="19" t="s">
        <v>42</v>
      </c>
      <c r="C9" s="31"/>
      <c r="D9" s="31"/>
      <c r="E9" s="31"/>
      <c r="F9" s="31"/>
      <c r="G9" s="31"/>
    </row>
    <row r="10" spans="2:37" ht="14.1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84.75" x14ac:dyDescent="0.3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x14ac:dyDescent="0.3">
      <c r="B14" s="3">
        <v>1</v>
      </c>
      <c r="C14" s="12" t="s">
        <v>117</v>
      </c>
      <c r="D14" s="12" t="s">
        <v>127</v>
      </c>
      <c r="E14" s="12"/>
      <c r="F14" s="12"/>
      <c r="G14" s="14">
        <v>403.2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/>
      <c r="W14" s="14">
        <v>12</v>
      </c>
      <c r="X14" s="14"/>
      <c r="Y14" s="14"/>
      <c r="Z14" s="14">
        <v>100</v>
      </c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118</v>
      </c>
      <c r="D15" s="12" t="s">
        <v>128</v>
      </c>
      <c r="E15" s="12"/>
      <c r="F15" s="12"/>
      <c r="G15" s="14">
        <v>335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>
        <v>93</v>
      </c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ht="33" x14ac:dyDescent="0.3">
      <c r="B16" s="3">
        <v>3</v>
      </c>
      <c r="C16" s="12" t="s">
        <v>119</v>
      </c>
      <c r="D16" s="12" t="s">
        <v>129</v>
      </c>
      <c r="E16" s="12"/>
      <c r="F16" s="12"/>
      <c r="G16" s="14">
        <v>256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>
        <v>71</v>
      </c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 t="s">
        <v>120</v>
      </c>
      <c r="D17" s="12" t="s">
        <v>130</v>
      </c>
      <c r="E17" s="12"/>
      <c r="F17" s="12"/>
      <c r="G17" s="14">
        <v>258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>
        <v>68</v>
      </c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ht="33" x14ac:dyDescent="0.3">
      <c r="B18" s="3">
        <v>5</v>
      </c>
      <c r="C18" s="12" t="s">
        <v>121</v>
      </c>
      <c r="D18" s="12" t="s">
        <v>131</v>
      </c>
      <c r="E18" s="12"/>
      <c r="F18" s="12"/>
      <c r="G18" s="14">
        <v>162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>
        <v>47</v>
      </c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x14ac:dyDescent="0.3">
      <c r="B19" s="3">
        <v>6</v>
      </c>
      <c r="C19" s="12" t="s">
        <v>122</v>
      </c>
      <c r="D19" s="12" t="s">
        <v>132</v>
      </c>
      <c r="E19" s="12"/>
      <c r="F19" s="12"/>
      <c r="G19" s="14">
        <v>162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>
        <v>45</v>
      </c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 t="s">
        <v>123</v>
      </c>
      <c r="D20" s="12" t="s">
        <v>133</v>
      </c>
      <c r="E20" s="12"/>
      <c r="F20" s="12"/>
      <c r="G20" s="14">
        <v>137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>
        <v>1</v>
      </c>
      <c r="X20" s="14"/>
      <c r="Y20" s="14"/>
      <c r="Z20" s="14">
        <v>37</v>
      </c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ht="33" x14ac:dyDescent="0.3">
      <c r="B21" s="3">
        <v>8</v>
      </c>
      <c r="C21" s="12" t="s">
        <v>124</v>
      </c>
      <c r="D21" s="12" t="s">
        <v>134</v>
      </c>
      <c r="E21" s="12"/>
      <c r="F21" s="12"/>
      <c r="G21" s="14">
        <v>122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>
        <v>34</v>
      </c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x14ac:dyDescent="0.3">
      <c r="B22" s="3">
        <v>9</v>
      </c>
      <c r="C22" s="12" t="s">
        <v>125</v>
      </c>
      <c r="D22" s="12" t="s">
        <v>135</v>
      </c>
      <c r="E22" s="12"/>
      <c r="F22" s="12"/>
      <c r="G22" s="14">
        <v>104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>
        <v>2</v>
      </c>
      <c r="X22" s="14"/>
      <c r="Y22" s="14"/>
      <c r="Z22" s="14">
        <v>27</v>
      </c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 t="s">
        <v>126</v>
      </c>
      <c r="D23" s="12" t="s">
        <v>136</v>
      </c>
      <c r="E23" s="12"/>
      <c r="F23" s="12"/>
      <c r="G23" s="14">
        <v>36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>
        <v>10</v>
      </c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x14ac:dyDescent="0.3">
      <c r="B24" s="3">
        <v>11</v>
      </c>
      <c r="C24" s="12"/>
      <c r="D24" s="12"/>
      <c r="E24" s="12"/>
      <c r="F24" s="12"/>
      <c r="G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</sheetData>
  <sheetProtection password="C2E9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4 I14:T24 V14:AK24">
      <formula1>0</formula1>
    </dataValidation>
  </dataValidations>
  <pageMargins left="0.7" right="0.7" top="0.75" bottom="0.75" header="0.3" footer="0.3"/>
  <pageSetup paperSize="5" scale="55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  <vt:lpstr>'11.1 Hospital Information'!Print_Area</vt:lpstr>
      <vt:lpstr>'11.2 Summary Statistics'!Print_Area</vt:lpstr>
      <vt:lpstr>'11.3 Discharge&amp;Beddays'!Print_Area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accounting</cp:lastModifiedBy>
  <cp:lastPrinted>2018-06-02T04:59:22Z</cp:lastPrinted>
  <dcterms:created xsi:type="dcterms:W3CDTF">2018-04-04T01:58:18Z</dcterms:created>
  <dcterms:modified xsi:type="dcterms:W3CDTF">2018-06-08T09:48:26Z</dcterms:modified>
</cp:coreProperties>
</file>