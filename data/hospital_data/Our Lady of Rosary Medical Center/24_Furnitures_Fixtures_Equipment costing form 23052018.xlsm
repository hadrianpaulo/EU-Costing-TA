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A\Desktop\Hospital Visit August 23, 2018\OUR LADY OF ROSARY MEDICAL CENTER\revisit data\"/>
    </mc:Choice>
  </mc:AlternateContent>
  <workbookProtection lockStructure="1"/>
  <bookViews>
    <workbookView xWindow="0" yWindow="0" windowWidth="15525" windowHeight="705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6" i="11" l="1"/>
  <c r="B57" i="11"/>
  <c r="B58" i="11"/>
  <c r="B59" i="11"/>
  <c r="B60" i="11"/>
  <c r="B61" i="11"/>
  <c r="B62" i="11"/>
  <c r="B63" i="11"/>
  <c r="B64" i="11"/>
  <c r="B65" i="11"/>
  <c r="B66" i="11"/>
  <c r="B67" i="11"/>
  <c r="C5" i="10" l="1"/>
  <c r="B3" i="11" s="1"/>
  <c r="C6" i="10"/>
  <c r="B4" i="11" s="1"/>
  <c r="C7" i="10"/>
  <c r="B5" i="11" s="1"/>
  <c r="C8" i="10"/>
  <c r="B6" i="11" s="1"/>
  <c r="C9" i="10"/>
  <c r="B7" i="11" s="1"/>
  <c r="C10" i="10"/>
  <c r="B8" i="11" s="1"/>
  <c r="C11" i="10"/>
  <c r="B9" i="11" s="1"/>
  <c r="C12" i="10"/>
  <c r="B10" i="11" s="1"/>
  <c r="C13" i="10"/>
  <c r="B11" i="11" s="1"/>
  <c r="C14" i="10"/>
  <c r="B12" i="11" s="1"/>
  <c r="C15" i="10"/>
  <c r="B13" i="11" s="1"/>
  <c r="C16" i="10"/>
  <c r="B14" i="11" s="1"/>
  <c r="C17" i="10"/>
  <c r="B15" i="11" s="1"/>
  <c r="C18" i="10"/>
  <c r="B16" i="11" s="1"/>
  <c r="C19" i="10"/>
  <c r="B17" i="11" s="1"/>
  <c r="C20" i="10"/>
  <c r="B18" i="11" s="1"/>
  <c r="C21" i="10"/>
  <c r="B19" i="11" s="1"/>
  <c r="C22" i="10"/>
  <c r="B20" i="11" s="1"/>
  <c r="C23" i="10"/>
  <c r="B21" i="11" s="1"/>
  <c r="C24" i="10"/>
  <c r="B22" i="11" s="1"/>
  <c r="C25" i="10"/>
  <c r="B23" i="11" s="1"/>
  <c r="C26" i="10"/>
  <c r="B24" i="11" s="1"/>
  <c r="C27" i="10"/>
  <c r="B25" i="11" s="1"/>
  <c r="C28" i="10"/>
  <c r="B26" i="11" s="1"/>
  <c r="C29" i="10"/>
  <c r="B27" i="11" s="1"/>
  <c r="C30" i="10"/>
  <c r="B28" i="11" s="1"/>
  <c r="C31" i="10"/>
  <c r="B29" i="11" s="1"/>
  <c r="C32" i="10"/>
  <c r="B30" i="11" s="1"/>
  <c r="C33" i="10"/>
  <c r="B31" i="11" s="1"/>
  <c r="C34" i="10"/>
  <c r="B32" i="11" s="1"/>
  <c r="C35" i="10"/>
  <c r="B33" i="11" s="1"/>
  <c r="C36" i="10"/>
  <c r="B34" i="11" s="1"/>
  <c r="C37" i="10"/>
  <c r="B35" i="11" s="1"/>
  <c r="C38" i="10"/>
  <c r="B36" i="11" s="1"/>
  <c r="C39" i="10"/>
  <c r="B37" i="11" s="1"/>
  <c r="C40" i="10"/>
  <c r="B38" i="11" s="1"/>
  <c r="C41" i="10"/>
  <c r="B39" i="11" s="1"/>
  <c r="C42" i="10"/>
  <c r="B40" i="11" s="1"/>
  <c r="C43" i="10"/>
  <c r="B41" i="11" s="1"/>
  <c r="C44" i="10"/>
  <c r="B42" i="11" s="1"/>
  <c r="C45" i="10"/>
  <c r="B43" i="11" s="1"/>
  <c r="C46" i="10"/>
  <c r="B44" i="11" s="1"/>
  <c r="C47" i="10"/>
  <c r="B45" i="11" s="1"/>
  <c r="C48" i="10"/>
  <c r="B46" i="11" s="1"/>
  <c r="C49" i="10"/>
  <c r="B47" i="11" s="1"/>
  <c r="C50" i="10"/>
  <c r="B48" i="11" s="1"/>
  <c r="C51" i="10"/>
  <c r="B49" i="11" s="1"/>
  <c r="C52" i="10"/>
  <c r="B50" i="11" s="1"/>
  <c r="C53" i="10"/>
  <c r="B51" i="11" s="1"/>
  <c r="C54" i="10"/>
  <c r="B52" i="11" s="1"/>
  <c r="C55" i="10"/>
  <c r="B53" i="11" s="1"/>
  <c r="C56" i="10"/>
  <c r="B54" i="11" s="1"/>
  <c r="C57" i="10"/>
  <c r="B55" i="11" s="1"/>
  <c r="C4" i="10"/>
  <c r="B2" i="11" s="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<sst xmlns="http://schemas.openxmlformats.org/spreadsheetml/2006/main" count="953" uniqueCount="281">
  <si>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</si>
  <si>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</si>
  <si>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</si>
  <si>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</si>
  <si>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</si>
  <si>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</si>
  <si>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</si>
  <si>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</si>
  <si>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</si>
  <si>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</si>
  <si>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</si>
  <si>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</si>
  <si>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</si>
  <si>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</si>
  <si>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</si>
  <si>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</si>
  <si>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</si>
  <si>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</si>
  <si>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</si>
  <si>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</si>
  <si>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</si>
  <si>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</si>
  <si>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</si>
  <si>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</si>
  <si>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</si>
  <si>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</si>
  <si>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</si>
  <si>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</si>
  <si>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</si>
  <si>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</si>
  <si>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</si>
  <si>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</si>
  <si>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</si>
  <si>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</si>
  <si>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</si>
  <si>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</si>
  <si>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</si>
  <si>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</si>
  <si>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</si>
  <si>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</si>
  <si>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</si>
  <si>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</si>
  <si>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</si>
  <si>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</si>
  <si>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</si>
  <si>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</si>
  <si>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</si>
  <si>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</si>
  <si>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</si>
  <si>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</si>
  <si>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</si>
  <si>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</si>
  <si>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</si>
  <si>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</si>
  <si>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</si>
  <si>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</si>
  <si>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</si>
  <si>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</si>
  <si>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</si>
  <si>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</si>
  <si>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</si>
  <si>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</si>
  <si>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</si>
  <si>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</si>
  <si>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</si>
  <si>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</si>
  <si>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</si>
  <si>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</si>
  <si>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</si>
  <si>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</si>
  <si>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</si>
  <si>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</si>
  <si>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</si>
  <si>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</si>
  <si>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</si>
  <si>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</si>
  <si>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</si>
  <si>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</si>
  <si>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</si>
  <si>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</si>
  <si>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</si>
  <si>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</si>
  <si>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</si>
  <si>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</si>
  <si>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</si>
  <si>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</si>
  <si>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</si>
  <si>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</si>
  <si>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</si>
  <si>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</si>
  <si>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</si>
  <si>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</si>
  <si>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</si>
  <si>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</si>
  <si>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</si>
  <si>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</si>
  <si>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</si>
  <si>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</si>
  <si>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</si>
  <si>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</si>
  <si>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</si>
  <si>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</si>
  <si>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</si>
  <si>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</si>
  <si>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</si>
  <si>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</si>
  <si>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</si>
  <si>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</si>
  <si>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</si>
  <si>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</si>
  <si>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</si>
  <si>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</si>
  <si>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</si>
  <si>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</si>
  <si>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</si>
  <si>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Level I</t>
  </si>
  <si>
    <t>AIRCON</t>
  </si>
  <si>
    <t>BENCH CHAIR</t>
  </si>
  <si>
    <t>BREAST FEEDING GUIDE</t>
  </si>
  <si>
    <t>CALCULATOR</t>
  </si>
  <si>
    <t>CCTV CAMERA ANALOG</t>
  </si>
  <si>
    <t>CEILLING FAN</t>
  </si>
  <si>
    <t>CHAIR MONOBLOCK</t>
  </si>
  <si>
    <t>COMPUTER SET</t>
  </si>
  <si>
    <t>DESK FAN</t>
  </si>
  <si>
    <t>DIPPER</t>
  </si>
  <si>
    <t>DXS650 II X-RAY CONTROL CONSOLE</t>
  </si>
  <si>
    <t>ELECTRIC BULB CIRCLE</t>
  </si>
  <si>
    <t>EPSON PRINTER L110</t>
  </si>
  <si>
    <t>EPSON PRINTER L120</t>
  </si>
  <si>
    <t>EPSON PRINTER L360</t>
  </si>
  <si>
    <t>FAUCET</t>
  </si>
  <si>
    <t>FCR FUJI IP CASSETTE 10 BY 12</t>
  </si>
  <si>
    <t>FCR FUJI IP CASSETTE 14 BY 17</t>
  </si>
  <si>
    <t>FIRE EXTINGUISER</t>
  </si>
  <si>
    <t>FLOURESCENT</t>
  </si>
  <si>
    <t>HP PRINTER 1050</t>
  </si>
  <si>
    <t>HP PRINTER 2515</t>
  </si>
  <si>
    <t>LEAD APRON</t>
  </si>
  <si>
    <t>MICROTEK SCANNER 8500</t>
  </si>
  <si>
    <t>NEGATOSCOPE</t>
  </si>
  <si>
    <t>OFFICE METAL CHAIR</t>
  </si>
  <si>
    <t>OFFICE TABLE</t>
  </si>
  <si>
    <t>OLRH SEALED</t>
  </si>
  <si>
    <t>PAIL</t>
  </si>
  <si>
    <t>PINLIGHT</t>
  </si>
  <si>
    <t>PORTABLE LEAD SHIELD</t>
  </si>
  <si>
    <t>PUNCHER</t>
  </si>
  <si>
    <t>REFRIGERATOR</t>
  </si>
  <si>
    <t>SIDE TABLE FOOD CABINET</t>
  </si>
  <si>
    <t>STAPLER SMALL 10</t>
  </si>
  <si>
    <t>STEEL CABINET</t>
  </si>
  <si>
    <t>TABLE CABINET</t>
  </si>
  <si>
    <t>TELEPHONE</t>
  </si>
  <si>
    <t>TOILET BOWL</t>
  </si>
  <si>
    <t>TRASH CAN</t>
  </si>
  <si>
    <t>TV CRT</t>
  </si>
  <si>
    <t>UNION PORTABLE AIRCON</t>
  </si>
  <si>
    <t>UPS</t>
  </si>
  <si>
    <t>WALL FAN</t>
  </si>
  <si>
    <t>WATER SPRINKLER</t>
  </si>
  <si>
    <t>X-RAY TABLE</t>
  </si>
  <si>
    <t>X-RAY TUBE</t>
  </si>
  <si>
    <t>BROOM</t>
  </si>
  <si>
    <t>BUSINESS OFFICE</t>
  </si>
  <si>
    <t>PHARMACY</t>
  </si>
  <si>
    <t>X-RAY DEPARTMENT</t>
  </si>
  <si>
    <t>PHILHEALTH DEPARTMENT</t>
  </si>
  <si>
    <t>STAPLER MEDIUM 35</t>
  </si>
  <si>
    <t>THERMOMETER</t>
  </si>
  <si>
    <t>SCOTCH TAPE DISPENSER</t>
  </si>
  <si>
    <t>SPHYGMOMANOMETER</t>
  </si>
  <si>
    <t>STETHOSCOPE</t>
  </si>
  <si>
    <t>WHEEL CHAIR</t>
  </si>
  <si>
    <t>WEIGHING SCALE</t>
  </si>
  <si>
    <t>CORK BOARD</t>
  </si>
  <si>
    <t>LOGBOOK</t>
  </si>
  <si>
    <t>INFORMATION</t>
  </si>
  <si>
    <t>ER BED</t>
  </si>
  <si>
    <t>IV STAND</t>
  </si>
  <si>
    <t>OVER BED TABLE</t>
  </si>
  <si>
    <t>ECG</t>
  </si>
  <si>
    <t>DEFIBRILLATOR</t>
  </si>
  <si>
    <t>NEBULIZER</t>
  </si>
  <si>
    <t>SUCTION MACHINE</t>
  </si>
  <si>
    <t>OXYGEN TANK</t>
  </si>
  <si>
    <t>ER DRAWER</t>
  </si>
  <si>
    <t>E-CART</t>
  </si>
  <si>
    <t>OTOSCOPE</t>
  </si>
  <si>
    <t>PEAK FLOW METER</t>
  </si>
  <si>
    <t>REFLEX HAMMER</t>
  </si>
  <si>
    <t>TRACHEOSTOMY TUBE</t>
  </si>
  <si>
    <t>BAG VALVE MASK</t>
  </si>
  <si>
    <t>GUIDE WIRE</t>
  </si>
  <si>
    <t>LARYNGOSCOPE SET</t>
  </si>
  <si>
    <t>TRAY</t>
  </si>
  <si>
    <t>IV BASKET</t>
  </si>
  <si>
    <t>GLASS JAR</t>
  </si>
  <si>
    <t>NEEEDLE RECEPTACLE</t>
  </si>
  <si>
    <t>ICE PACK</t>
  </si>
  <si>
    <t>DROP LIGHT</t>
  </si>
  <si>
    <t>RING BELL</t>
  </si>
  <si>
    <t>OFFICE CHAIR</t>
  </si>
  <si>
    <t>WALL CLOCK</t>
  </si>
  <si>
    <t>URINAL</t>
  </si>
  <si>
    <t>BED PAN</t>
  </si>
  <si>
    <t>SPINE BOARD</t>
  </si>
  <si>
    <t>CARDIAC BOARD</t>
  </si>
  <si>
    <t>STAND FAN</t>
  </si>
  <si>
    <t>PENLIGHT</t>
  </si>
  <si>
    <t>EMERGENCY LIGHT</t>
  </si>
  <si>
    <t>ERMERGENCY ROOM</t>
  </si>
  <si>
    <t>BED</t>
  </si>
  <si>
    <t>OXYGEN GAUGE</t>
  </si>
  <si>
    <t>ROUND CHAIR MONOBLOCK</t>
  </si>
  <si>
    <t>STRETCHER</t>
  </si>
  <si>
    <t>DELIVERY ROOM</t>
  </si>
  <si>
    <t>O2 TANK WITH GAUGE ANG HUMIDIFIER</t>
  </si>
  <si>
    <t>XRAY MACHINE</t>
  </si>
  <si>
    <t>FASTER PRINTING</t>
  </si>
  <si>
    <t>PROGRAMMABLE MACHINE</t>
  </si>
  <si>
    <t>ARITHMETIC OPERATIONS</t>
  </si>
  <si>
    <t>MECHANICAL DEVICE</t>
  </si>
  <si>
    <t>MECHANICAL FAN</t>
  </si>
  <si>
    <t>LIGHT BULB</t>
  </si>
  <si>
    <t>STORAGE CABINET</t>
  </si>
  <si>
    <t>WORK TABLE</t>
  </si>
  <si>
    <t>COMFORTABLE CHAIR</t>
  </si>
  <si>
    <t>FURNITURE CHAIR</t>
  </si>
  <si>
    <t>CABINET TABLE</t>
  </si>
  <si>
    <t>FILLING TABLE</t>
  </si>
  <si>
    <t>AIR CONDITIONING</t>
  </si>
  <si>
    <t>FRIDGE</t>
  </si>
  <si>
    <t>SECURITY CAMERAS</t>
  </si>
  <si>
    <t>TRANSMITS ELECTRICAL SIGNAL</t>
  </si>
  <si>
    <t>COMPUTER DISPLAY</t>
  </si>
  <si>
    <t>WATER FIXTURES</t>
  </si>
  <si>
    <t>OFFICE TOOL</t>
  </si>
  <si>
    <t>XRAY VIEWER</t>
  </si>
  <si>
    <t>PROTECTIVE CLOTHING</t>
  </si>
  <si>
    <t>LONG SEAT</t>
  </si>
  <si>
    <t>WATER PAIL</t>
  </si>
  <si>
    <t>FASTER SCANNER</t>
  </si>
  <si>
    <t>FIRE PROTECTION</t>
  </si>
  <si>
    <t>GUIDELINES</t>
  </si>
  <si>
    <t>CLEANLINESS</t>
  </si>
  <si>
    <t>MEASURES TEMPERATURE</t>
  </si>
  <si>
    <t>BLOOD PRESSURE METER</t>
  </si>
  <si>
    <t>MEDICAL DEVICE</t>
  </si>
  <si>
    <t>MOBILITY DEVICE</t>
  </si>
  <si>
    <t>MEASURE WEIGHT</t>
  </si>
  <si>
    <t>HOSPITAL COT</t>
  </si>
  <si>
    <t>STAINLESS STEEL</t>
  </si>
  <si>
    <t>HOSPITAL PATIENT BED</t>
  </si>
  <si>
    <t>HEART MONITORING</t>
  </si>
  <si>
    <t>VENTRICULAR FIBRILLATION</t>
  </si>
  <si>
    <t>ADMINISTER MEDICATION</t>
  </si>
  <si>
    <t>REMOVING LIQUIDS</t>
  </si>
  <si>
    <t>STORAGE VESSEL</t>
  </si>
  <si>
    <t>STORAGE</t>
  </si>
  <si>
    <t>PORTABLE DEVICE</t>
  </si>
  <si>
    <t>SURGICAL DEVICE</t>
  </si>
  <si>
    <t>SELF INFLATING BAG</t>
  </si>
  <si>
    <t>MEDICAL PROCEDURE</t>
  </si>
  <si>
    <t>DISPOSABLE CONTANIER</t>
  </si>
  <si>
    <t>CONTANIER</t>
  </si>
  <si>
    <t>LIGHT FIXTURE</t>
  </si>
  <si>
    <t>MECHANICAL BELL</t>
  </si>
  <si>
    <t>MEASURING TIME</t>
  </si>
  <si>
    <t>RECEIVING URINE</t>
  </si>
  <si>
    <t>RECEPTACLE USED</t>
  </si>
  <si>
    <t>HANDLING DEVICE</t>
  </si>
  <si>
    <t>CPR BOARD</t>
  </si>
  <si>
    <t>FLASH LIGHT</t>
  </si>
  <si>
    <t>LIGHTING DEVICE</t>
  </si>
  <si>
    <t>OFFICE WORK</t>
  </si>
  <si>
    <t>WATER RESISTOR</t>
  </si>
  <si>
    <t>GAS CYLINDERS</t>
  </si>
  <si>
    <t>APPARATUS FOR MOVING PATIENT</t>
  </si>
  <si>
    <t>DIPS ARTICLE</t>
  </si>
  <si>
    <t>PROTECTIVE SHIELD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</si>
</sst>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4"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8"/>
      <color rgb="FF008000"/>
      <name val="Calibri"/>
      <family val="2"/>
      <scheme val="minor"/>
    </font>
    <font>
      <sz val="8"/>
      <color rgb="FF800000"/>
      <name val="Calibri"/>
      <family val="2"/>
      <scheme val="minor"/>
    </font>
    <font>
      <sz val="10"/>
      <color indexed="8"/>
      <name val="Arial"/>
      <family val="2"/>
    </font>
    <font>
      <sz val="11"/>
      <color indexed="8"/>
      <name val="Calibri"/>
      <family val="2"/>
    </font>
    <font>
      <sz val="12"/>
      <color rgb="FF222222"/>
      <name val="Arial"/>
      <family val="2"/>
    </font>
    <font>
      <sz val="12"/>
      <color rgb="FF545454"/>
      <name val="Arial"/>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s>
  <cellStyleXfs count="4">
    <xf numFmtId="0" fontId="0" fillId="0" borderId="0"/>
    <xf numFmtId="0" fontId="4" fillId="0" borderId="0"/>
    <xf numFmtId="164" fontId="11" fillId="0" borderId="0" applyFont="0" applyFill="0" applyBorder="0" applyAlignment="0" applyProtection="0"/>
    <xf numFmtId="0" fontId="20" fillId="0" borderId="0"/>
  </cellStyleXfs>
  <cellXfs count="80">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3" fillId="2" borderId="1" xfId="0" applyFont="1" applyFill="1" applyBorder="1" applyAlignment="1">
      <alignment horizontal="center" vertical="center" wrapText="1"/>
    </xf>
    <xf numFmtId="14" fontId="1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7"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5" fillId="2" borderId="21" xfId="0" applyFont="1" applyFill="1" applyBorder="1"/>
    <xf numFmtId="0" fontId="21" fillId="0" borderId="23" xfId="3" applyFont="1" applyFill="1" applyBorder="1" applyAlignment="1">
      <alignment wrapText="1"/>
    </xf>
    <xf numFmtId="0" fontId="21" fillId="0" borderId="1" xfId="3" applyFont="1" applyFill="1" applyBorder="1" applyAlignment="1">
      <alignment horizontal="left" wrapText="1"/>
    </xf>
    <xf numFmtId="0" fontId="21" fillId="0" borderId="24" xfId="3" applyFont="1" applyFill="1" applyBorder="1" applyAlignment="1">
      <alignment wrapText="1"/>
    </xf>
    <xf numFmtId="0" fontId="21" fillId="0" borderId="1" xfId="3" applyFont="1" applyFill="1" applyBorder="1" applyAlignment="1">
      <alignment wrapText="1"/>
    </xf>
    <xf numFmtId="0" fontId="21" fillId="0" borderId="1" xfId="3" applyFont="1" applyFill="1" applyBorder="1" applyAlignment="1" applyProtection="1">
      <alignment horizontal="left" wrapText="1"/>
      <protection locked="0"/>
    </xf>
    <xf numFmtId="0" fontId="22" fillId="0" borderId="1" xfId="0" applyFont="1" applyBorder="1"/>
    <xf numFmtId="0" fontId="23" fillId="0" borderId="1" xfId="0" applyFont="1" applyBorder="1"/>
    <xf numFmtId="0" fontId="22" fillId="0" borderId="1" xfId="0" applyFont="1" applyBorder="1" applyProtection="1">
      <protection locked="0"/>
    </xf>
    <xf numFmtId="0" fontId="23" fillId="0" borderId="1" xfId="0" applyFont="1" applyBorder="1" applyProtection="1">
      <protection locked="0"/>
    </xf>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4">
    <cellStyle name="Comma" xfId="2" builtinId="3"/>
    <cellStyle name="Normal" xfId="0" builtinId="0"/>
    <cellStyle name="Normal 2" xfId="1"/>
    <cellStyle name="Normal_9.1Furnitures&amp;Fixtures"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12</xdr:row>
          <xdr:rowOff>28575</xdr:rowOff>
        </xdr:from>
        <xdr:to>
          <xdr:col>1</xdr:col>
          <xdr:colOff>1209675</xdr:colOff>
          <xdr:row>13</xdr:row>
          <xdr:rowOff>0</xdr:rowOff>
        </xdr:to>
        <xdr:sp macro="" textlink="">
          <xdr:nvSpPr>
            <xdr:cNvPr id="1025" name="Button 1" descr="Add Drug / Medication / Supply"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1276350</xdr:colOff>
          <xdr:row>12</xdr:row>
          <xdr:rowOff>28575</xdr:rowOff>
        </xdr:from>
        <xdr:to>
          <xdr:col>1</xdr:col>
          <xdr:colOff>1704975</xdr:colOff>
          <xdr:row>13</xdr:row>
          <xdr:rowOff>0</xdr:rowOff>
        </xdr:to>
        <xdr:sp macro="" textlink="">
          <xdr:nvSpPr>
            <xdr:cNvPr id="1026" name="Button 2" descr="Delete Drug / Medication / Supply"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12</xdr:row>
          <xdr:rowOff>28575</xdr:rowOff>
        </xdr:from>
        <xdr:to>
          <xdr:col>1</xdr:col>
          <xdr:colOff>1209675</xdr:colOff>
          <xdr:row>12</xdr:row>
          <xdr:rowOff>209550</xdr:rowOff>
        </xdr:to>
        <xdr:sp macro="" textlink="">
          <xdr:nvSpPr>
            <xdr:cNvPr id="2049" name="Button 1" descr="Add Drug / Medication / Supply"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1276350</xdr:colOff>
          <xdr:row>12</xdr:row>
          <xdr:rowOff>28575</xdr:rowOff>
        </xdr:from>
        <xdr:to>
          <xdr:col>2</xdr:col>
          <xdr:colOff>1059</xdr:colOff>
          <xdr:row>12</xdr:row>
          <xdr:rowOff>209550</xdr:rowOff>
        </xdr:to>
        <xdr:sp macro="" textlink="">
          <xdr:nvSpPr>
            <xdr:cNvPr id="2050" name="Button 2" descr="Delete Drug / Medication / Supply"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13</xdr:row>
          <xdr:rowOff>28575</xdr:rowOff>
        </xdr:from>
        <xdr:to>
          <xdr:col>1</xdr:col>
          <xdr:colOff>1209675</xdr:colOff>
          <xdr:row>14</xdr:row>
          <xdr:rowOff>0</xdr:rowOff>
        </xdr:to>
        <xdr:sp macro="" textlink="">
          <xdr:nvSpPr>
            <xdr:cNvPr id="3073" name="Button 1" descr="Add Drug / Medication / Supply"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1276350</xdr:colOff>
          <xdr:row>13</xdr:row>
          <xdr:rowOff>28575</xdr:rowOff>
        </xdr:from>
        <xdr:to>
          <xdr:col>2</xdr:col>
          <xdr:colOff>1059</xdr:colOff>
          <xdr:row>14</xdr:row>
          <xdr:rowOff>0</xdr:rowOff>
        </xdr:to>
        <xdr:sp macro="" textlink="">
          <xdr:nvSpPr>
            <xdr:cNvPr id="3074" name="Button 2" descr="Delete Drug / Medication / Supply"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342"/>
  <sheetViews>
    <sheetView showGridLines="0" tabSelected="1" topLeftCell="G140" workbookViewId="0">
      <selection activeCell="K152" sqref="K152"/>
    </sheetView>
  </sheetViews>
  <sheetFormatPr defaultColWidth="8.7109375" defaultRowHeight="16.5" outlineLevelRow="1" x14ac:dyDescent="0.3"/>
  <cols>
    <col min="1" max="1" width="4.5703125" style="1" customWidth="1"/>
    <col min="2" max="2" width="28.42578125" style="7" customWidth="1"/>
    <col min="3" max="3" width="36.42578125" style="1" customWidth="1"/>
    <col min="4" max="5" width="34.5703125" style="1" customWidth="1"/>
    <col min="6" max="6" width="31.28515625" style="2" customWidth="1"/>
    <col min="7" max="7" width="18.5703125" style="1" bestFit="1" customWidth="1"/>
    <col min="8" max="8" width="18.140625" style="1" bestFit="1" customWidth="1"/>
    <col min="9" max="9" width="18.140625" style="7" customWidth="1"/>
    <col min="10" max="10" width="16.5703125" style="1" customWidth="1"/>
    <col min="11" max="11" width="25.85546875" style="1" customWidth="1"/>
    <col min="12" max="12" width="8.7109375" style="1"/>
    <col min="13" max="13" width="21.85546875" style="1" customWidth="1"/>
    <col min="14" max="16384" width="8.710937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158</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6" customHeight="1" x14ac:dyDescent="0.3">
      <c r="B8" s="73" t="s">
        <v>113</v>
      </c>
      <c r="C8" s="74"/>
      <c r="D8" s="74"/>
      <c r="E8" s="75"/>
      <c r="F8" s="1"/>
      <c r="H8" s="4"/>
      <c r="I8" s="4"/>
    </row>
    <row r="9" spans="2:122" ht="51.6" customHeight="1" x14ac:dyDescent="0.3">
      <c r="F9" s="1"/>
      <c r="H9" s="3"/>
      <c r="I9" s="3"/>
    </row>
    <row r="10" spans="2:122" x14ac:dyDescent="0.3">
      <c r="B10" s="54" t="s">
        <v>108</v>
      </c>
      <c r="C10" s="55" t="s">
        <v>115</v>
      </c>
    </row>
    <row r="12" spans="2:122" ht="25.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65"/>
      <c r="D13" s="65" t="s">
        <v>123</v>
      </c>
      <c r="E13" s="69" t="s">
        <v>220</v>
      </c>
      <c r="F13" s="38" t="s">
        <v>164</v>
      </c>
      <c r="G13" s="39">
        <v>41737</v>
      </c>
      <c r="H13" s="40">
        <v>16000</v>
      </c>
      <c r="I13" s="65">
        <v>2</v>
      </c>
      <c r="J13" s="40">
        <v>16000</v>
      </c>
      <c r="K13" s="40">
        <v>2000</v>
      </c>
      <c r="L13" s="40">
        <v>8</v>
      </c>
      <c r="M13" s="38"/>
    </row>
    <row r="14" spans="2:122" x14ac:dyDescent="0.3">
      <c r="B14" s="5">
        <v>2</v>
      </c>
      <c r="C14" s="65"/>
      <c r="D14" s="65" t="s">
        <v>129</v>
      </c>
      <c r="E14" s="70" t="s">
        <v>219</v>
      </c>
      <c r="F14" s="38" t="s">
        <v>164</v>
      </c>
      <c r="G14" s="39">
        <v>42455</v>
      </c>
      <c r="H14" s="40">
        <v>5000</v>
      </c>
      <c r="I14" s="65">
        <v>1</v>
      </c>
      <c r="J14" s="40">
        <v>5000</v>
      </c>
      <c r="K14" s="40">
        <v>1000</v>
      </c>
      <c r="L14" s="40">
        <v>5</v>
      </c>
      <c r="M14" s="38"/>
    </row>
    <row r="15" spans="2:122" x14ac:dyDescent="0.3">
      <c r="B15" s="5">
        <v>3</v>
      </c>
      <c r="C15" s="65"/>
      <c r="D15" s="65" t="s">
        <v>119</v>
      </c>
      <c r="E15" s="38" t="s">
        <v>221</v>
      </c>
      <c r="F15" s="38" t="s">
        <v>164</v>
      </c>
      <c r="G15" s="39">
        <v>42395</v>
      </c>
      <c r="H15" s="40">
        <v>600</v>
      </c>
      <c r="I15" s="65">
        <v>1</v>
      </c>
      <c r="J15" s="40">
        <v>600</v>
      </c>
      <c r="K15" s="40">
        <v>75</v>
      </c>
      <c r="L15" s="40">
        <v>8</v>
      </c>
      <c r="M15" s="38"/>
    </row>
    <row r="16" spans="2:122" s="7" customFormat="1" x14ac:dyDescent="0.3">
      <c r="B16" s="5">
        <v>4</v>
      </c>
      <c r="C16" s="65"/>
      <c r="D16" s="65" t="s">
        <v>150</v>
      </c>
      <c r="E16" s="38" t="s">
        <v>222</v>
      </c>
      <c r="F16" s="38" t="s">
        <v>164</v>
      </c>
      <c r="G16" s="39">
        <v>43091</v>
      </c>
      <c r="H16" s="40">
        <v>150</v>
      </c>
      <c r="I16" s="65">
        <v>1</v>
      </c>
      <c r="J16" s="40">
        <v>150</v>
      </c>
      <c r="K16" s="40">
        <v>30</v>
      </c>
      <c r="L16" s="40">
        <v>5</v>
      </c>
      <c r="M16" s="38"/>
    </row>
    <row r="17" spans="2:13" s="7" customFormat="1" x14ac:dyDescent="0.3">
      <c r="B17" s="5">
        <v>5</v>
      </c>
      <c r="C17" s="65"/>
      <c r="D17" s="65" t="s">
        <v>121</v>
      </c>
      <c r="E17" s="38" t="s">
        <v>223</v>
      </c>
      <c r="F17" s="38" t="s">
        <v>164</v>
      </c>
      <c r="G17" s="39">
        <v>42221</v>
      </c>
      <c r="H17" s="40">
        <v>2000</v>
      </c>
      <c r="I17" s="65">
        <v>1</v>
      </c>
      <c r="J17" s="40">
        <v>2000</v>
      </c>
      <c r="K17" s="40">
        <v>250</v>
      </c>
      <c r="L17" s="40">
        <v>8</v>
      </c>
      <c r="M17" s="38"/>
    </row>
    <row r="18" spans="2:13" s="7" customFormat="1" x14ac:dyDescent="0.3">
      <c r="B18" s="5">
        <v>6</v>
      </c>
      <c r="C18" s="65"/>
      <c r="D18" s="65" t="s">
        <v>127</v>
      </c>
      <c r="E18" s="38" t="s">
        <v>224</v>
      </c>
      <c r="F18" s="38" t="s">
        <v>164</v>
      </c>
      <c r="G18" s="39">
        <v>42242</v>
      </c>
      <c r="H18" s="40">
        <v>200</v>
      </c>
      <c r="I18" s="65">
        <v>1</v>
      </c>
      <c r="J18" s="40">
        <v>200</v>
      </c>
      <c r="K18" s="40">
        <v>33.333333333333336</v>
      </c>
      <c r="L18" s="40">
        <v>6</v>
      </c>
      <c r="M18" s="38"/>
    </row>
    <row r="19" spans="2:13" s="7" customFormat="1" x14ac:dyDescent="0.3">
      <c r="B19" s="5">
        <v>7</v>
      </c>
      <c r="C19" s="65"/>
      <c r="D19" s="65" t="s">
        <v>152</v>
      </c>
      <c r="E19" s="38" t="s">
        <v>225</v>
      </c>
      <c r="F19" s="38" t="s">
        <v>164</v>
      </c>
      <c r="G19" s="39">
        <v>42243</v>
      </c>
      <c r="H19" s="40">
        <v>6000</v>
      </c>
      <c r="I19" s="65">
        <v>3</v>
      </c>
      <c r="J19" s="40">
        <v>6000</v>
      </c>
      <c r="K19" s="40">
        <v>600</v>
      </c>
      <c r="L19" s="40">
        <v>10</v>
      </c>
      <c r="M19" s="38"/>
    </row>
    <row r="20" spans="2:13" s="7" customFormat="1" x14ac:dyDescent="0.3">
      <c r="B20" s="5">
        <v>8</v>
      </c>
      <c r="C20" s="65"/>
      <c r="D20" s="65" t="s">
        <v>142</v>
      </c>
      <c r="E20" s="38" t="s">
        <v>226</v>
      </c>
      <c r="F20" s="38" t="s">
        <v>164</v>
      </c>
      <c r="G20" s="39">
        <v>42244</v>
      </c>
      <c r="H20" s="40">
        <v>5000</v>
      </c>
      <c r="I20" s="65">
        <v>1</v>
      </c>
      <c r="J20" s="40">
        <v>5000</v>
      </c>
      <c r="K20" s="40">
        <v>625</v>
      </c>
      <c r="L20" s="40">
        <v>8</v>
      </c>
      <c r="M20" s="38"/>
    </row>
    <row r="21" spans="2:13" s="7" customFormat="1" x14ac:dyDescent="0.3">
      <c r="B21" s="5">
        <v>9</v>
      </c>
      <c r="C21" s="65"/>
      <c r="D21" s="65" t="s">
        <v>151</v>
      </c>
      <c r="E21" s="38" t="s">
        <v>230</v>
      </c>
      <c r="F21" s="38" t="s">
        <v>164</v>
      </c>
      <c r="G21" s="39">
        <v>40223</v>
      </c>
      <c r="H21" s="40">
        <v>8000</v>
      </c>
      <c r="I21" s="65">
        <v>1</v>
      </c>
      <c r="J21" s="40">
        <v>8000</v>
      </c>
      <c r="K21" s="40">
        <v>1000</v>
      </c>
      <c r="L21" s="40">
        <v>8</v>
      </c>
      <c r="M21" s="38"/>
    </row>
    <row r="22" spans="2:13" s="7" customFormat="1" x14ac:dyDescent="0.3">
      <c r="B22" s="5">
        <v>10</v>
      </c>
      <c r="C22" s="65"/>
      <c r="D22" s="65" t="s">
        <v>122</v>
      </c>
      <c r="E22" s="38" t="s">
        <v>227</v>
      </c>
      <c r="F22" s="38" t="s">
        <v>164</v>
      </c>
      <c r="G22" s="39">
        <v>40658</v>
      </c>
      <c r="H22" s="40">
        <v>500</v>
      </c>
      <c r="I22" s="65">
        <v>3</v>
      </c>
      <c r="J22" s="40">
        <v>500</v>
      </c>
      <c r="K22" s="40">
        <v>62.5</v>
      </c>
      <c r="L22" s="40">
        <v>8</v>
      </c>
      <c r="M22" s="38"/>
    </row>
    <row r="23" spans="2:13" s="7" customFormat="1" x14ac:dyDescent="0.3">
      <c r="B23" s="5">
        <v>11</v>
      </c>
      <c r="C23" s="65"/>
      <c r="D23" s="65" t="s">
        <v>141</v>
      </c>
      <c r="E23" s="38" t="s">
        <v>228</v>
      </c>
      <c r="F23" s="38" t="s">
        <v>164</v>
      </c>
      <c r="G23" s="39">
        <v>41368</v>
      </c>
      <c r="H23" s="40">
        <v>1500</v>
      </c>
      <c r="I23" s="65">
        <v>1</v>
      </c>
      <c r="J23" s="40">
        <v>1500</v>
      </c>
      <c r="K23" s="40">
        <v>214.28571428571428</v>
      </c>
      <c r="L23" s="40">
        <v>7</v>
      </c>
      <c r="M23" s="38"/>
    </row>
    <row r="24" spans="2:13" s="7" customFormat="1" x14ac:dyDescent="0.3">
      <c r="B24" s="5">
        <v>12</v>
      </c>
      <c r="C24" s="65"/>
      <c r="D24" s="65" t="s">
        <v>149</v>
      </c>
      <c r="E24" s="38" t="s">
        <v>229</v>
      </c>
      <c r="F24" s="38" t="s">
        <v>164</v>
      </c>
      <c r="G24" s="39">
        <v>42428</v>
      </c>
      <c r="H24" s="40">
        <v>1000</v>
      </c>
      <c r="I24" s="65">
        <v>1</v>
      </c>
      <c r="J24" s="40">
        <v>1000</v>
      </c>
      <c r="K24" s="40">
        <v>142.85714285714286</v>
      </c>
      <c r="L24" s="40">
        <v>7</v>
      </c>
      <c r="M24" s="38"/>
    </row>
    <row r="25" spans="2:13" s="7" customFormat="1" x14ac:dyDescent="0.3">
      <c r="B25" s="5">
        <v>13</v>
      </c>
      <c r="C25" s="65"/>
      <c r="D25" s="65" t="s">
        <v>142</v>
      </c>
      <c r="E25" s="38" t="s">
        <v>226</v>
      </c>
      <c r="F25" s="38" t="s">
        <v>165</v>
      </c>
      <c r="G25" s="39">
        <v>40980</v>
      </c>
      <c r="H25" s="40">
        <v>5000</v>
      </c>
      <c r="I25" s="65">
        <v>2</v>
      </c>
      <c r="J25" s="40">
        <v>5000</v>
      </c>
      <c r="K25" s="40">
        <v>714.28571428571433</v>
      </c>
      <c r="L25" s="40">
        <v>7</v>
      </c>
      <c r="M25" s="38"/>
    </row>
    <row r="26" spans="2:13" s="7" customFormat="1" x14ac:dyDescent="0.3">
      <c r="B26" s="5">
        <v>14</v>
      </c>
      <c r="C26" s="65"/>
      <c r="D26" s="65" t="s">
        <v>151</v>
      </c>
      <c r="E26" s="38" t="s">
        <v>230</v>
      </c>
      <c r="F26" s="38" t="s">
        <v>165</v>
      </c>
      <c r="G26" s="39">
        <v>41754</v>
      </c>
      <c r="H26" s="40">
        <v>8000</v>
      </c>
      <c r="I26" s="65">
        <v>1</v>
      </c>
      <c r="J26" s="40">
        <v>8000</v>
      </c>
      <c r="K26" s="40">
        <v>1333.3333333333333</v>
      </c>
      <c r="L26" s="40">
        <v>6</v>
      </c>
      <c r="M26" s="38"/>
    </row>
    <row r="27" spans="2:13" s="7" customFormat="1" x14ac:dyDescent="0.3">
      <c r="B27" s="5">
        <v>15</v>
      </c>
      <c r="C27" s="65"/>
      <c r="D27" s="65" t="s">
        <v>123</v>
      </c>
      <c r="E27" s="38" t="s">
        <v>220</v>
      </c>
      <c r="F27" s="38" t="s">
        <v>165</v>
      </c>
      <c r="G27" s="39">
        <v>42914</v>
      </c>
      <c r="H27" s="40">
        <v>16000</v>
      </c>
      <c r="I27" s="65">
        <v>2</v>
      </c>
      <c r="J27" s="40">
        <v>16000</v>
      </c>
      <c r="K27" s="40">
        <v>2000</v>
      </c>
      <c r="L27" s="40">
        <v>8</v>
      </c>
      <c r="M27" s="38"/>
    </row>
    <row r="28" spans="2:13" s="7" customFormat="1" x14ac:dyDescent="0.3">
      <c r="B28" s="5">
        <v>16</v>
      </c>
      <c r="C28" s="65"/>
      <c r="D28" s="65" t="s">
        <v>116</v>
      </c>
      <c r="E28" s="38" t="s">
        <v>231</v>
      </c>
      <c r="F28" s="38" t="s">
        <v>165</v>
      </c>
      <c r="G28" s="39">
        <v>42627</v>
      </c>
      <c r="H28" s="40">
        <v>15000</v>
      </c>
      <c r="I28" s="65">
        <v>1</v>
      </c>
      <c r="J28" s="40">
        <v>15000</v>
      </c>
      <c r="K28" s="40">
        <v>1875</v>
      </c>
      <c r="L28" s="40">
        <v>8</v>
      </c>
      <c r="M28" s="38"/>
    </row>
    <row r="29" spans="2:13" s="7" customFormat="1" x14ac:dyDescent="0.3">
      <c r="B29" s="5">
        <v>17</v>
      </c>
      <c r="C29" s="65"/>
      <c r="D29" s="65" t="s">
        <v>148</v>
      </c>
      <c r="E29" s="38" t="s">
        <v>232</v>
      </c>
      <c r="F29" s="38" t="s">
        <v>165</v>
      </c>
      <c r="G29" s="39">
        <v>42879</v>
      </c>
      <c r="H29" s="40">
        <v>15000</v>
      </c>
      <c r="I29" s="65">
        <v>1</v>
      </c>
      <c r="J29" s="40">
        <v>15000</v>
      </c>
      <c r="K29" s="40">
        <v>3000</v>
      </c>
      <c r="L29" s="40">
        <v>5</v>
      </c>
      <c r="M29" s="38"/>
    </row>
    <row r="30" spans="2:13" s="7" customFormat="1" x14ac:dyDescent="0.3">
      <c r="B30" s="5">
        <v>18</v>
      </c>
      <c r="C30" s="65"/>
      <c r="D30" s="65" t="s">
        <v>124</v>
      </c>
      <c r="E30" s="38" t="s">
        <v>223</v>
      </c>
      <c r="F30" s="38" t="s">
        <v>165</v>
      </c>
      <c r="G30" s="39">
        <v>41737</v>
      </c>
      <c r="H30" s="40">
        <v>1500</v>
      </c>
      <c r="I30" s="65">
        <v>1</v>
      </c>
      <c r="J30" s="40">
        <v>1500</v>
      </c>
      <c r="K30" s="40">
        <v>250</v>
      </c>
      <c r="L30" s="40">
        <v>6</v>
      </c>
      <c r="M30" s="38"/>
    </row>
    <row r="31" spans="2:13" s="7" customFormat="1" x14ac:dyDescent="0.3">
      <c r="B31" s="5">
        <v>19</v>
      </c>
      <c r="C31" s="65"/>
      <c r="D31" s="65" t="s">
        <v>136</v>
      </c>
      <c r="E31" s="38" t="s">
        <v>219</v>
      </c>
      <c r="F31" s="38" t="s">
        <v>165</v>
      </c>
      <c r="G31" s="39">
        <v>42455</v>
      </c>
      <c r="H31" s="40">
        <v>4500</v>
      </c>
      <c r="I31" s="65">
        <v>1</v>
      </c>
      <c r="J31" s="40">
        <v>4500</v>
      </c>
      <c r="K31" s="40">
        <v>642.85714285714289</v>
      </c>
      <c r="L31" s="40">
        <v>7</v>
      </c>
      <c r="M31" s="38"/>
    </row>
    <row r="32" spans="2:13" s="7" customFormat="1" x14ac:dyDescent="0.3">
      <c r="B32" s="5">
        <v>20</v>
      </c>
      <c r="C32" s="65"/>
      <c r="D32" s="65" t="s">
        <v>120</v>
      </c>
      <c r="E32" s="38" t="s">
        <v>233</v>
      </c>
      <c r="F32" s="38" t="s">
        <v>165</v>
      </c>
      <c r="G32" s="39">
        <v>42395</v>
      </c>
      <c r="H32" s="40">
        <v>10000</v>
      </c>
      <c r="I32" s="65">
        <v>1</v>
      </c>
      <c r="J32" s="40">
        <v>10000</v>
      </c>
      <c r="K32" s="40">
        <v>1428.5714285714287</v>
      </c>
      <c r="L32" s="40">
        <v>7</v>
      </c>
      <c r="M32" s="38"/>
    </row>
    <row r="33" spans="2:13" s="7" customFormat="1" x14ac:dyDescent="0.3">
      <c r="B33" s="5">
        <v>21</v>
      </c>
      <c r="C33" s="65"/>
      <c r="D33" s="65" t="s">
        <v>153</v>
      </c>
      <c r="E33" s="38" t="s">
        <v>234</v>
      </c>
      <c r="F33" s="38" t="s">
        <v>165</v>
      </c>
      <c r="G33" s="39">
        <v>43091</v>
      </c>
      <c r="H33" s="40">
        <v>2500</v>
      </c>
      <c r="I33" s="65">
        <v>1</v>
      </c>
      <c r="J33" s="40">
        <v>2500</v>
      </c>
      <c r="K33" s="40">
        <v>312.5</v>
      </c>
      <c r="L33" s="40">
        <v>8</v>
      </c>
      <c r="M33" s="38"/>
    </row>
    <row r="34" spans="2:13" s="7" customFormat="1" x14ac:dyDescent="0.3">
      <c r="B34" s="5">
        <v>22</v>
      </c>
      <c r="C34" s="65"/>
      <c r="D34" s="65" t="s">
        <v>156</v>
      </c>
      <c r="E34" s="38" t="s">
        <v>235</v>
      </c>
      <c r="F34" s="38" t="s">
        <v>165</v>
      </c>
      <c r="G34" s="39">
        <v>42221</v>
      </c>
      <c r="H34" s="40">
        <v>2500</v>
      </c>
      <c r="I34" s="65">
        <v>1</v>
      </c>
      <c r="J34" s="40">
        <v>2500</v>
      </c>
      <c r="K34" s="40">
        <v>416.66666666666669</v>
      </c>
      <c r="L34" s="40">
        <v>6</v>
      </c>
      <c r="M34" s="38"/>
    </row>
    <row r="35" spans="2:13" s="7" customFormat="1" x14ac:dyDescent="0.3">
      <c r="B35" s="5">
        <v>23</v>
      </c>
      <c r="C35" s="65"/>
      <c r="D35" s="65" t="s">
        <v>131</v>
      </c>
      <c r="E35" s="38" t="s">
        <v>236</v>
      </c>
      <c r="F35" s="38" t="s">
        <v>165</v>
      </c>
      <c r="G35" s="39">
        <v>42242</v>
      </c>
      <c r="H35" s="40">
        <v>500</v>
      </c>
      <c r="I35" s="65">
        <v>1</v>
      </c>
      <c r="J35" s="40">
        <v>500</v>
      </c>
      <c r="K35" s="40">
        <v>83.333333333333329</v>
      </c>
      <c r="L35" s="40">
        <v>6</v>
      </c>
      <c r="M35" s="38"/>
    </row>
    <row r="36" spans="2:13" s="7" customFormat="1" x14ac:dyDescent="0.3">
      <c r="B36" s="5">
        <v>24</v>
      </c>
      <c r="C36" s="65"/>
      <c r="D36" s="65" t="s">
        <v>119</v>
      </c>
      <c r="E36" s="38" t="s">
        <v>221</v>
      </c>
      <c r="F36" s="38" t="s">
        <v>165</v>
      </c>
      <c r="G36" s="39">
        <v>42243</v>
      </c>
      <c r="H36" s="40">
        <v>600</v>
      </c>
      <c r="I36" s="65">
        <v>2</v>
      </c>
      <c r="J36" s="40">
        <v>600</v>
      </c>
      <c r="K36" s="40">
        <v>120</v>
      </c>
      <c r="L36" s="40">
        <v>5</v>
      </c>
      <c r="M36" s="38"/>
    </row>
    <row r="37" spans="2:13" s="7" customFormat="1" x14ac:dyDescent="0.3">
      <c r="B37" s="5">
        <v>25</v>
      </c>
      <c r="C37" s="65"/>
      <c r="D37" s="65" t="s">
        <v>150</v>
      </c>
      <c r="E37" s="38" t="s">
        <v>222</v>
      </c>
      <c r="F37" s="38" t="s">
        <v>165</v>
      </c>
      <c r="G37" s="39">
        <v>42244</v>
      </c>
      <c r="H37" s="40">
        <v>250</v>
      </c>
      <c r="I37" s="65">
        <v>1</v>
      </c>
      <c r="J37" s="40">
        <v>250</v>
      </c>
      <c r="K37" s="40">
        <v>31.25</v>
      </c>
      <c r="L37" s="40">
        <v>8</v>
      </c>
      <c r="M37" s="38"/>
    </row>
    <row r="38" spans="2:13" s="7" customFormat="1" x14ac:dyDescent="0.3">
      <c r="B38" s="5">
        <v>26</v>
      </c>
      <c r="C38" s="65"/>
      <c r="D38" s="65" t="s">
        <v>147</v>
      </c>
      <c r="E38" s="38" t="s">
        <v>237</v>
      </c>
      <c r="F38" s="38" t="s">
        <v>165</v>
      </c>
      <c r="G38" s="39">
        <v>40223</v>
      </c>
      <c r="H38" s="40">
        <v>200</v>
      </c>
      <c r="I38" s="65">
        <v>1</v>
      </c>
      <c r="J38" s="40">
        <v>200</v>
      </c>
      <c r="K38" s="40">
        <v>40</v>
      </c>
      <c r="L38" s="40">
        <v>5</v>
      </c>
      <c r="M38" s="38"/>
    </row>
    <row r="39" spans="2:13" s="7" customFormat="1" x14ac:dyDescent="0.3">
      <c r="B39" s="5">
        <v>27</v>
      </c>
      <c r="C39" s="65"/>
      <c r="D39" s="65" t="s">
        <v>143</v>
      </c>
      <c r="E39" s="38" t="s">
        <v>237</v>
      </c>
      <c r="F39" s="38" t="s">
        <v>165</v>
      </c>
      <c r="G39" s="39">
        <v>40658</v>
      </c>
      <c r="H39" s="40">
        <v>500</v>
      </c>
      <c r="I39" s="65">
        <v>1</v>
      </c>
      <c r="J39" s="40">
        <v>500</v>
      </c>
      <c r="K39" s="40">
        <v>83.333333333333329</v>
      </c>
      <c r="L39" s="40">
        <v>6</v>
      </c>
      <c r="M39" s="38"/>
    </row>
    <row r="40" spans="2:13" s="7" customFormat="1" ht="16.5" customHeight="1" x14ac:dyDescent="0.3">
      <c r="B40" s="5">
        <v>28</v>
      </c>
      <c r="C40" s="65"/>
      <c r="D40" s="65" t="s">
        <v>126</v>
      </c>
      <c r="E40" s="38" t="s">
        <v>218</v>
      </c>
      <c r="F40" s="38" t="s">
        <v>166</v>
      </c>
      <c r="G40" s="39">
        <v>41368</v>
      </c>
      <c r="H40" s="40">
        <v>25000</v>
      </c>
      <c r="I40" s="65">
        <v>1</v>
      </c>
      <c r="J40" s="40">
        <v>25000</v>
      </c>
      <c r="K40" s="40">
        <v>5000</v>
      </c>
      <c r="L40" s="40">
        <v>5</v>
      </c>
      <c r="M40" s="38"/>
    </row>
    <row r="41" spans="2:13" s="7" customFormat="1" x14ac:dyDescent="0.3">
      <c r="B41" s="5">
        <v>29</v>
      </c>
      <c r="C41" s="65"/>
      <c r="D41" s="65" t="s">
        <v>162</v>
      </c>
      <c r="E41" s="38" t="s">
        <v>218</v>
      </c>
      <c r="F41" s="38" t="s">
        <v>166</v>
      </c>
      <c r="G41" s="39">
        <v>42428</v>
      </c>
      <c r="H41" s="40">
        <v>10000</v>
      </c>
      <c r="I41" s="65">
        <v>1</v>
      </c>
      <c r="J41" s="40">
        <v>10000</v>
      </c>
      <c r="K41" s="40">
        <v>2000</v>
      </c>
      <c r="L41" s="40">
        <v>5</v>
      </c>
      <c r="M41" s="38"/>
    </row>
    <row r="42" spans="2:13" s="7" customFormat="1" x14ac:dyDescent="0.3">
      <c r="B42" s="5">
        <v>30</v>
      </c>
      <c r="C42" s="65"/>
      <c r="D42" s="65" t="s">
        <v>161</v>
      </c>
      <c r="E42" s="38" t="s">
        <v>237</v>
      </c>
      <c r="F42" s="38" t="s">
        <v>166</v>
      </c>
      <c r="G42" s="39">
        <v>40980</v>
      </c>
      <c r="H42" s="40">
        <v>15000</v>
      </c>
      <c r="I42" s="65">
        <v>1</v>
      </c>
      <c r="J42" s="40">
        <v>15000</v>
      </c>
      <c r="K42" s="40">
        <v>2500</v>
      </c>
      <c r="L42" s="40">
        <v>6</v>
      </c>
      <c r="M42" s="38"/>
    </row>
    <row r="43" spans="2:13" s="7" customFormat="1" x14ac:dyDescent="0.3">
      <c r="B43" s="5">
        <v>31</v>
      </c>
      <c r="C43" s="65"/>
      <c r="D43" s="65" t="s">
        <v>130</v>
      </c>
      <c r="E43" s="38" t="s">
        <v>219</v>
      </c>
      <c r="F43" s="38" t="s">
        <v>166</v>
      </c>
      <c r="G43" s="39">
        <v>41754</v>
      </c>
      <c r="H43" s="40">
        <v>5000</v>
      </c>
      <c r="I43" s="65">
        <v>1</v>
      </c>
      <c r="J43" s="40">
        <v>5000</v>
      </c>
      <c r="K43" s="40">
        <v>833.33333333333337</v>
      </c>
      <c r="L43" s="40">
        <v>6</v>
      </c>
      <c r="M43" s="38"/>
    </row>
    <row r="44" spans="2:13" s="7" customFormat="1" x14ac:dyDescent="0.3">
      <c r="B44" s="5">
        <v>32</v>
      </c>
      <c r="C44" s="65"/>
      <c r="D44" s="65" t="s">
        <v>123</v>
      </c>
      <c r="E44" s="38" t="s">
        <v>220</v>
      </c>
      <c r="F44" s="38" t="s">
        <v>166</v>
      </c>
      <c r="G44" s="39">
        <v>42914</v>
      </c>
      <c r="H44" s="40">
        <v>16000</v>
      </c>
      <c r="I44" s="65">
        <v>1</v>
      </c>
      <c r="J44" s="40">
        <v>16000</v>
      </c>
      <c r="K44" s="40">
        <v>2666.6666666666665</v>
      </c>
      <c r="L44" s="40">
        <v>6</v>
      </c>
      <c r="M44" s="38"/>
    </row>
    <row r="45" spans="2:13" s="7" customFormat="1" x14ac:dyDescent="0.3">
      <c r="B45" s="5">
        <v>33</v>
      </c>
      <c r="C45" s="65"/>
      <c r="D45" s="65" t="s">
        <v>158</v>
      </c>
      <c r="E45" s="38" t="s">
        <v>220</v>
      </c>
      <c r="F45" s="38" t="s">
        <v>166</v>
      </c>
      <c r="G45" s="39">
        <v>42627</v>
      </c>
      <c r="H45" s="40">
        <v>2000</v>
      </c>
      <c r="I45" s="65">
        <v>1</v>
      </c>
      <c r="J45" s="40">
        <v>2000</v>
      </c>
      <c r="K45" s="40">
        <v>250</v>
      </c>
      <c r="L45" s="40">
        <v>8</v>
      </c>
      <c r="M45" s="38"/>
    </row>
    <row r="46" spans="2:13" s="7" customFormat="1" x14ac:dyDescent="0.3">
      <c r="B46" s="5">
        <v>34</v>
      </c>
      <c r="C46" s="65"/>
      <c r="D46" s="68" t="s">
        <v>140</v>
      </c>
      <c r="E46" s="38" t="s">
        <v>218</v>
      </c>
      <c r="F46" s="38" t="s">
        <v>166</v>
      </c>
      <c r="G46" s="39">
        <v>42879</v>
      </c>
      <c r="H46" s="40">
        <v>12000</v>
      </c>
      <c r="I46" s="65">
        <v>2</v>
      </c>
      <c r="J46" s="40">
        <v>12000</v>
      </c>
      <c r="K46" s="40">
        <v>1500</v>
      </c>
      <c r="L46" s="40">
        <v>8</v>
      </c>
      <c r="M46" s="38"/>
    </row>
    <row r="47" spans="2:13" s="7" customFormat="1" x14ac:dyDescent="0.3">
      <c r="B47" s="5">
        <v>35</v>
      </c>
      <c r="C47" s="65"/>
      <c r="D47" s="65" t="s">
        <v>132</v>
      </c>
      <c r="E47" s="38" t="s">
        <v>218</v>
      </c>
      <c r="F47" s="38" t="s">
        <v>166</v>
      </c>
      <c r="G47" s="39">
        <v>41737</v>
      </c>
      <c r="H47" s="40">
        <v>10000</v>
      </c>
      <c r="I47" s="65">
        <v>2</v>
      </c>
      <c r="J47" s="40">
        <v>10000</v>
      </c>
      <c r="K47" s="40">
        <v>1428.5714285714287</v>
      </c>
      <c r="L47" s="40">
        <v>7</v>
      </c>
      <c r="M47" s="38"/>
    </row>
    <row r="48" spans="2:13" s="7" customFormat="1" x14ac:dyDescent="0.3">
      <c r="B48" s="5">
        <v>36</v>
      </c>
      <c r="C48" s="65"/>
      <c r="D48" s="65" t="s">
        <v>157</v>
      </c>
      <c r="E48" s="38" t="s">
        <v>231</v>
      </c>
      <c r="F48" s="38" t="s">
        <v>166</v>
      </c>
      <c r="G48" s="39">
        <v>42455</v>
      </c>
      <c r="H48" s="40">
        <v>8000</v>
      </c>
      <c r="I48" s="65">
        <v>1</v>
      </c>
      <c r="J48" s="40">
        <v>8000</v>
      </c>
      <c r="K48" s="40">
        <v>1142.8571428571429</v>
      </c>
      <c r="L48" s="40">
        <v>7</v>
      </c>
      <c r="M48" s="38"/>
    </row>
    <row r="49" spans="2:13" s="7" customFormat="1" x14ac:dyDescent="0.3">
      <c r="B49" s="5">
        <v>37</v>
      </c>
      <c r="C49" s="65"/>
      <c r="D49" s="65" t="s">
        <v>140</v>
      </c>
      <c r="E49" s="38" t="s">
        <v>238</v>
      </c>
      <c r="F49" s="38" t="s">
        <v>166</v>
      </c>
      <c r="G49" s="39">
        <v>42395</v>
      </c>
      <c r="H49" s="40">
        <v>15000</v>
      </c>
      <c r="I49" s="65">
        <v>1</v>
      </c>
      <c r="J49" s="40">
        <v>15000</v>
      </c>
      <c r="K49" s="40">
        <v>2142.8571428571427</v>
      </c>
      <c r="L49" s="40">
        <v>7</v>
      </c>
      <c r="M49" s="38"/>
    </row>
    <row r="50" spans="2:13" s="7" customFormat="1" x14ac:dyDescent="0.3">
      <c r="B50" s="5">
        <v>38</v>
      </c>
      <c r="C50" s="65"/>
      <c r="D50" s="65" t="s">
        <v>138</v>
      </c>
      <c r="E50" s="38" t="s">
        <v>239</v>
      </c>
      <c r="F50" s="38" t="s">
        <v>166</v>
      </c>
      <c r="G50" s="39">
        <v>43091</v>
      </c>
      <c r="H50" s="40">
        <v>2000</v>
      </c>
      <c r="I50" s="65">
        <v>1</v>
      </c>
      <c r="J50" s="40">
        <v>2000</v>
      </c>
      <c r="K50" s="40">
        <v>333.33333333333331</v>
      </c>
      <c r="L50" s="40">
        <v>6</v>
      </c>
      <c r="M50" s="38"/>
    </row>
    <row r="51" spans="2:13" s="7" customFormat="1" x14ac:dyDescent="0.3">
      <c r="B51" s="5">
        <v>39</v>
      </c>
      <c r="C51" s="65"/>
      <c r="D51" s="65" t="s">
        <v>146</v>
      </c>
      <c r="E51" s="38" t="s">
        <v>218</v>
      </c>
      <c r="F51" s="38" t="s">
        <v>166</v>
      </c>
      <c r="G51" s="39">
        <v>42221</v>
      </c>
      <c r="H51" s="40">
        <v>5000</v>
      </c>
      <c r="I51" s="65">
        <v>1</v>
      </c>
      <c r="J51" s="40">
        <v>5000</v>
      </c>
      <c r="K51" s="40">
        <v>1000</v>
      </c>
      <c r="L51" s="40">
        <v>5</v>
      </c>
      <c r="M51" s="38"/>
    </row>
    <row r="52" spans="2:13" s="7" customFormat="1" x14ac:dyDescent="0.3">
      <c r="B52" s="5">
        <v>40</v>
      </c>
      <c r="C52" s="65"/>
      <c r="D52" s="65" t="s">
        <v>159</v>
      </c>
      <c r="E52" s="38" t="s">
        <v>223</v>
      </c>
      <c r="F52" s="38" t="s">
        <v>166</v>
      </c>
      <c r="G52" s="39">
        <v>42242</v>
      </c>
      <c r="H52" s="40">
        <v>2500</v>
      </c>
      <c r="I52" s="65">
        <v>1</v>
      </c>
      <c r="J52" s="40">
        <v>2500</v>
      </c>
      <c r="K52" s="40">
        <v>312.5</v>
      </c>
      <c r="L52" s="40">
        <v>8</v>
      </c>
      <c r="M52" s="38"/>
    </row>
    <row r="53" spans="2:13" s="7" customFormat="1" x14ac:dyDescent="0.3">
      <c r="B53" s="5">
        <v>41</v>
      </c>
      <c r="C53" s="65"/>
      <c r="D53" s="65" t="s">
        <v>121</v>
      </c>
      <c r="E53" s="38" t="s">
        <v>223</v>
      </c>
      <c r="F53" s="38" t="s">
        <v>166</v>
      </c>
      <c r="G53" s="39">
        <v>42243</v>
      </c>
      <c r="H53" s="40">
        <v>2500</v>
      </c>
      <c r="I53" s="65">
        <v>1</v>
      </c>
      <c r="J53" s="40">
        <v>2500</v>
      </c>
      <c r="K53" s="40">
        <v>500</v>
      </c>
      <c r="L53" s="40">
        <v>5</v>
      </c>
      <c r="M53" s="38"/>
    </row>
    <row r="54" spans="2:13" s="7" customFormat="1" x14ac:dyDescent="0.3">
      <c r="B54" s="5">
        <v>42</v>
      </c>
      <c r="C54" s="65"/>
      <c r="D54" s="65" t="s">
        <v>123</v>
      </c>
      <c r="E54" s="38" t="s">
        <v>220</v>
      </c>
      <c r="F54" s="38" t="s">
        <v>167</v>
      </c>
      <c r="G54" s="39">
        <v>42244</v>
      </c>
      <c r="H54" s="40">
        <v>16000</v>
      </c>
      <c r="I54" s="65">
        <v>2</v>
      </c>
      <c r="J54" s="40">
        <v>16000</v>
      </c>
      <c r="K54" s="40">
        <v>2666.6666666666665</v>
      </c>
      <c r="L54" s="40">
        <v>6</v>
      </c>
      <c r="M54" s="38"/>
    </row>
    <row r="55" spans="2:13" s="7" customFormat="1" x14ac:dyDescent="0.3">
      <c r="B55" s="5">
        <v>43</v>
      </c>
      <c r="C55" s="65"/>
      <c r="D55" s="65" t="s">
        <v>117</v>
      </c>
      <c r="E55" s="38" t="s">
        <v>240</v>
      </c>
      <c r="F55" s="38" t="s">
        <v>167</v>
      </c>
      <c r="G55" s="39">
        <v>40223</v>
      </c>
      <c r="H55" s="40">
        <v>2000</v>
      </c>
      <c r="I55" s="65">
        <v>1</v>
      </c>
      <c r="J55" s="40">
        <v>2000</v>
      </c>
      <c r="K55" s="40">
        <v>285.71428571428572</v>
      </c>
      <c r="L55" s="40">
        <v>7</v>
      </c>
      <c r="M55" s="38"/>
    </row>
    <row r="56" spans="2:13" s="7" customFormat="1" x14ac:dyDescent="0.3">
      <c r="B56" s="5">
        <v>44</v>
      </c>
      <c r="C56" s="65"/>
      <c r="D56" s="65" t="s">
        <v>122</v>
      </c>
      <c r="E56" s="38" t="s">
        <v>227</v>
      </c>
      <c r="F56" s="38" t="s">
        <v>167</v>
      </c>
      <c r="G56" s="39">
        <v>40658</v>
      </c>
      <c r="H56" s="40">
        <v>3000</v>
      </c>
      <c r="I56" s="65">
        <v>4</v>
      </c>
      <c r="J56" s="40">
        <v>3000</v>
      </c>
      <c r="K56" s="40">
        <v>428.57142857142856</v>
      </c>
      <c r="L56" s="40">
        <v>7</v>
      </c>
      <c r="M56" s="38"/>
    </row>
    <row r="57" spans="2:13" s="7" customFormat="1" x14ac:dyDescent="0.3">
      <c r="B57" s="5">
        <v>45</v>
      </c>
      <c r="C57" s="65"/>
      <c r="D57" s="65" t="s">
        <v>128</v>
      </c>
      <c r="E57" s="38" t="s">
        <v>219</v>
      </c>
      <c r="F57" s="38" t="s">
        <v>167</v>
      </c>
      <c r="G57" s="39">
        <v>41368</v>
      </c>
      <c r="H57" s="40">
        <v>4500</v>
      </c>
      <c r="I57" s="65">
        <v>1</v>
      </c>
      <c r="J57" s="40">
        <v>4500</v>
      </c>
      <c r="K57" s="40">
        <v>562.5</v>
      </c>
      <c r="L57" s="40">
        <v>8</v>
      </c>
      <c r="M57" s="38"/>
    </row>
    <row r="58" spans="2:13" s="7" customFormat="1" x14ac:dyDescent="0.3">
      <c r="B58" s="5">
        <v>46</v>
      </c>
      <c r="C58" s="65"/>
      <c r="D58" s="65" t="s">
        <v>142</v>
      </c>
      <c r="E58" s="38" t="s">
        <v>226</v>
      </c>
      <c r="F58" s="38" t="s">
        <v>167</v>
      </c>
      <c r="G58" s="39">
        <v>42428</v>
      </c>
      <c r="H58" s="40">
        <v>5000</v>
      </c>
      <c r="I58" s="65">
        <v>1</v>
      </c>
      <c r="J58" s="40">
        <v>5000</v>
      </c>
      <c r="K58" s="40">
        <v>833.33333333333337</v>
      </c>
      <c r="L58" s="40">
        <v>6</v>
      </c>
      <c r="M58" s="38"/>
    </row>
    <row r="59" spans="2:13" s="7" customFormat="1" x14ac:dyDescent="0.3">
      <c r="B59" s="5">
        <v>47</v>
      </c>
      <c r="C59" s="65"/>
      <c r="D59" s="65" t="s">
        <v>152</v>
      </c>
      <c r="E59" s="38" t="s">
        <v>225</v>
      </c>
      <c r="F59" s="38" t="s">
        <v>167</v>
      </c>
      <c r="G59" s="39">
        <v>40980</v>
      </c>
      <c r="H59" s="40">
        <v>3500</v>
      </c>
      <c r="I59" s="65">
        <v>3</v>
      </c>
      <c r="J59" s="40">
        <v>3500</v>
      </c>
      <c r="K59" s="40">
        <v>583.33333333333337</v>
      </c>
      <c r="L59" s="40">
        <v>6</v>
      </c>
      <c r="M59" s="38"/>
    </row>
    <row r="60" spans="2:13" s="7" customFormat="1" x14ac:dyDescent="0.3">
      <c r="B60" s="5">
        <v>48</v>
      </c>
      <c r="C60" s="65"/>
      <c r="D60" s="65" t="s">
        <v>125</v>
      </c>
      <c r="E60" s="38"/>
      <c r="F60" s="38" t="s">
        <v>167</v>
      </c>
      <c r="G60" s="39">
        <v>41754</v>
      </c>
      <c r="H60" s="40">
        <v>250</v>
      </c>
      <c r="I60" s="65">
        <v>1</v>
      </c>
      <c r="J60" s="40">
        <v>250</v>
      </c>
      <c r="K60" s="40">
        <v>50</v>
      </c>
      <c r="L60" s="40">
        <v>5</v>
      </c>
      <c r="M60" s="38"/>
    </row>
    <row r="61" spans="2:13" s="7" customFormat="1" x14ac:dyDescent="0.3">
      <c r="B61" s="5">
        <v>49</v>
      </c>
      <c r="C61" s="65"/>
      <c r="D61" s="65" t="s">
        <v>144</v>
      </c>
      <c r="E61" s="38" t="s">
        <v>241</v>
      </c>
      <c r="F61" s="38" t="s">
        <v>167</v>
      </c>
      <c r="G61" s="39">
        <v>42914</v>
      </c>
      <c r="H61" s="40">
        <v>100</v>
      </c>
      <c r="I61" s="65">
        <v>2</v>
      </c>
      <c r="J61" s="40">
        <v>100</v>
      </c>
      <c r="K61" s="40">
        <v>12.5</v>
      </c>
      <c r="L61" s="40">
        <v>8</v>
      </c>
      <c r="M61" s="38"/>
    </row>
    <row r="62" spans="2:13" s="7" customFormat="1" x14ac:dyDescent="0.3">
      <c r="B62" s="5">
        <v>50</v>
      </c>
      <c r="C62" s="65"/>
      <c r="D62" s="65" t="s">
        <v>136</v>
      </c>
      <c r="E62" s="38" t="s">
        <v>219</v>
      </c>
      <c r="F62" s="38" t="s">
        <v>167</v>
      </c>
      <c r="G62" s="39">
        <v>42627</v>
      </c>
      <c r="H62" s="40">
        <v>4500</v>
      </c>
      <c r="I62" s="65">
        <v>1</v>
      </c>
      <c r="J62" s="40">
        <v>4500</v>
      </c>
      <c r="K62" s="40">
        <v>900</v>
      </c>
      <c r="L62" s="40">
        <v>5</v>
      </c>
      <c r="M62" s="38"/>
    </row>
    <row r="63" spans="2:13" s="7" customFormat="1" x14ac:dyDescent="0.3">
      <c r="B63" s="5">
        <v>51</v>
      </c>
      <c r="C63" s="65"/>
      <c r="D63" s="65" t="s">
        <v>121</v>
      </c>
      <c r="E63" s="38" t="s">
        <v>223</v>
      </c>
      <c r="F63" s="38" t="s">
        <v>167</v>
      </c>
      <c r="G63" s="39">
        <v>42879</v>
      </c>
      <c r="H63" s="40">
        <v>2500</v>
      </c>
      <c r="I63" s="65">
        <v>1</v>
      </c>
      <c r="J63" s="40">
        <v>2500</v>
      </c>
      <c r="K63" s="40">
        <v>416.66666666666669</v>
      </c>
      <c r="L63" s="40">
        <v>6</v>
      </c>
      <c r="M63" s="38"/>
    </row>
    <row r="64" spans="2:13" s="7" customFormat="1" x14ac:dyDescent="0.3">
      <c r="B64" s="5">
        <v>52</v>
      </c>
      <c r="C64" s="65"/>
      <c r="D64" s="65" t="s">
        <v>137</v>
      </c>
      <c r="E64" s="38" t="s">
        <v>219</v>
      </c>
      <c r="F64" s="38" t="s">
        <v>167</v>
      </c>
      <c r="G64" s="39">
        <v>42901</v>
      </c>
      <c r="H64" s="40">
        <v>4500</v>
      </c>
      <c r="I64" s="65">
        <v>1</v>
      </c>
      <c r="J64" s="40">
        <v>4500</v>
      </c>
      <c r="K64" s="40">
        <v>900</v>
      </c>
      <c r="L64" s="40">
        <v>5</v>
      </c>
      <c r="M64" s="38"/>
    </row>
    <row r="65" spans="2:13" s="7" customFormat="1" x14ac:dyDescent="0.3">
      <c r="B65" s="5">
        <v>53</v>
      </c>
      <c r="C65" s="65"/>
      <c r="D65" s="65" t="s">
        <v>139</v>
      </c>
      <c r="E65" s="38" t="s">
        <v>242</v>
      </c>
      <c r="F65" s="38" t="s">
        <v>167</v>
      </c>
      <c r="G65" s="39">
        <v>41737</v>
      </c>
      <c r="H65" s="40">
        <v>5000</v>
      </c>
      <c r="I65" s="65">
        <v>1</v>
      </c>
      <c r="J65" s="40">
        <v>5000</v>
      </c>
      <c r="K65" s="40">
        <v>1000</v>
      </c>
      <c r="L65" s="40">
        <v>5</v>
      </c>
      <c r="M65" s="38"/>
    </row>
    <row r="66" spans="2:13" s="7" customFormat="1" x14ac:dyDescent="0.3">
      <c r="B66" s="5">
        <v>54</v>
      </c>
      <c r="C66" s="65"/>
      <c r="D66" s="65" t="s">
        <v>119</v>
      </c>
      <c r="E66" s="38" t="s">
        <v>221</v>
      </c>
      <c r="F66" s="38" t="s">
        <v>167</v>
      </c>
      <c r="G66" s="39">
        <v>42455</v>
      </c>
      <c r="H66" s="40">
        <v>250</v>
      </c>
      <c r="I66" s="65">
        <v>1</v>
      </c>
      <c r="J66" s="40">
        <v>250</v>
      </c>
      <c r="K66" s="40">
        <v>41.666666666666664</v>
      </c>
      <c r="L66" s="40">
        <v>6</v>
      </c>
      <c r="M66" s="38"/>
    </row>
    <row r="67" spans="2:13" s="7" customFormat="1" x14ac:dyDescent="0.3">
      <c r="B67" s="5">
        <v>55</v>
      </c>
      <c r="C67" s="65"/>
      <c r="D67" s="65" t="s">
        <v>150</v>
      </c>
      <c r="E67" s="38" t="s">
        <v>222</v>
      </c>
      <c r="F67" s="38" t="s">
        <v>167</v>
      </c>
      <c r="G67" s="39">
        <v>42395</v>
      </c>
      <c r="H67" s="40">
        <v>250</v>
      </c>
      <c r="I67" s="65">
        <v>2</v>
      </c>
      <c r="J67" s="40">
        <v>250</v>
      </c>
      <c r="K67" s="40">
        <v>41.666666666666664</v>
      </c>
      <c r="L67" s="40">
        <v>6</v>
      </c>
      <c r="M67" s="38"/>
    </row>
    <row r="68" spans="2:13" s="7" customFormat="1" x14ac:dyDescent="0.3">
      <c r="B68" s="5">
        <v>56</v>
      </c>
      <c r="C68" s="65"/>
      <c r="D68" s="65" t="s">
        <v>135</v>
      </c>
      <c r="E68" s="38" t="s">
        <v>224</v>
      </c>
      <c r="F68" s="38" t="s">
        <v>167</v>
      </c>
      <c r="G68" s="39">
        <v>43091</v>
      </c>
      <c r="H68" s="40">
        <v>500</v>
      </c>
      <c r="I68" s="65">
        <v>1</v>
      </c>
      <c r="J68" s="40">
        <v>500</v>
      </c>
      <c r="K68" s="40">
        <v>83.333333333333329</v>
      </c>
      <c r="L68" s="40">
        <v>6</v>
      </c>
      <c r="M68" s="38"/>
    </row>
    <row r="69" spans="2:13" s="7" customFormat="1" x14ac:dyDescent="0.3">
      <c r="B69" s="5">
        <v>57</v>
      </c>
      <c r="C69" s="65"/>
      <c r="D69" s="65" t="s">
        <v>145</v>
      </c>
      <c r="E69" s="38" t="s">
        <v>224</v>
      </c>
      <c r="F69" s="38" t="s">
        <v>167</v>
      </c>
      <c r="G69" s="39">
        <v>42221</v>
      </c>
      <c r="H69" s="40">
        <v>250</v>
      </c>
      <c r="I69" s="65">
        <v>1</v>
      </c>
      <c r="J69" s="40">
        <v>250</v>
      </c>
      <c r="K69" s="40">
        <v>31.25</v>
      </c>
      <c r="L69" s="40">
        <v>8</v>
      </c>
      <c r="M69" s="38"/>
    </row>
    <row r="70" spans="2:13" s="7" customFormat="1" x14ac:dyDescent="0.3">
      <c r="B70" s="5">
        <v>58</v>
      </c>
      <c r="C70" s="65"/>
      <c r="D70" s="65" t="s">
        <v>160</v>
      </c>
      <c r="E70" s="38" t="s">
        <v>243</v>
      </c>
      <c r="F70" s="38" t="s">
        <v>167</v>
      </c>
      <c r="G70" s="39">
        <v>42242</v>
      </c>
      <c r="H70" s="40">
        <v>600</v>
      </c>
      <c r="I70" s="65">
        <v>1</v>
      </c>
      <c r="J70" s="40">
        <v>600</v>
      </c>
      <c r="K70" s="40">
        <v>75</v>
      </c>
      <c r="L70" s="40">
        <v>8</v>
      </c>
      <c r="M70" s="38"/>
    </row>
    <row r="71" spans="2:13" s="7" customFormat="1" x14ac:dyDescent="0.3">
      <c r="B71" s="5">
        <v>59</v>
      </c>
      <c r="C71" s="65"/>
      <c r="D71" s="65" t="s">
        <v>118</v>
      </c>
      <c r="E71" s="38" t="s">
        <v>244</v>
      </c>
      <c r="F71" s="38" t="s">
        <v>167</v>
      </c>
      <c r="G71" s="39">
        <v>42243</v>
      </c>
      <c r="H71" s="40">
        <v>100</v>
      </c>
      <c r="I71" s="65">
        <v>1</v>
      </c>
      <c r="J71" s="40">
        <v>100</v>
      </c>
      <c r="K71" s="40">
        <v>14.285714285714286</v>
      </c>
      <c r="L71" s="40">
        <v>7</v>
      </c>
      <c r="M71" s="38"/>
    </row>
    <row r="72" spans="2:13" s="7" customFormat="1" x14ac:dyDescent="0.3">
      <c r="B72" s="5">
        <v>60</v>
      </c>
      <c r="C72" s="65"/>
      <c r="D72" s="65" t="s">
        <v>163</v>
      </c>
      <c r="E72" s="38" t="s">
        <v>245</v>
      </c>
      <c r="F72" s="38" t="s">
        <v>167</v>
      </c>
      <c r="G72" s="39">
        <v>42244</v>
      </c>
      <c r="H72" s="40">
        <v>60</v>
      </c>
      <c r="I72" s="65">
        <v>1</v>
      </c>
      <c r="J72" s="40">
        <v>60</v>
      </c>
      <c r="K72" s="40">
        <v>8.5714285714285712</v>
      </c>
      <c r="L72" s="40">
        <v>7</v>
      </c>
      <c r="M72" s="38"/>
    </row>
    <row r="73" spans="2:13" s="7" customFormat="1" x14ac:dyDescent="0.3">
      <c r="B73" s="5">
        <v>61</v>
      </c>
      <c r="C73" s="65"/>
      <c r="D73" s="65" t="s">
        <v>155</v>
      </c>
      <c r="E73" s="38" t="s">
        <v>245</v>
      </c>
      <c r="F73" s="38" t="s">
        <v>167</v>
      </c>
      <c r="G73" s="39">
        <v>40223</v>
      </c>
      <c r="H73" s="40">
        <v>150</v>
      </c>
      <c r="I73" s="65">
        <v>2</v>
      </c>
      <c r="J73" s="40">
        <v>150</v>
      </c>
      <c r="K73" s="40">
        <v>21.428571428571427</v>
      </c>
      <c r="L73" s="40">
        <v>7</v>
      </c>
      <c r="M73" s="38"/>
    </row>
    <row r="74" spans="2:13" s="7" customFormat="1" x14ac:dyDescent="0.3">
      <c r="B74" s="5">
        <v>62</v>
      </c>
      <c r="C74" s="65"/>
      <c r="D74" s="65" t="s">
        <v>154</v>
      </c>
      <c r="E74" s="38" t="s">
        <v>245</v>
      </c>
      <c r="F74" s="38" t="s">
        <v>167</v>
      </c>
      <c r="G74" s="39">
        <v>40658</v>
      </c>
      <c r="H74" s="40">
        <v>4500</v>
      </c>
      <c r="I74" s="65">
        <v>1</v>
      </c>
      <c r="J74" s="40">
        <v>4500</v>
      </c>
      <c r="K74" s="40">
        <v>750</v>
      </c>
      <c r="L74" s="40">
        <v>6</v>
      </c>
      <c r="M74" s="38"/>
    </row>
    <row r="75" spans="2:13" s="7" customFormat="1" x14ac:dyDescent="0.3">
      <c r="B75" s="5">
        <v>63</v>
      </c>
      <c r="C75" s="65"/>
      <c r="D75" s="65" t="s">
        <v>117</v>
      </c>
      <c r="E75" s="38" t="s">
        <v>240</v>
      </c>
      <c r="F75" s="38" t="s">
        <v>167</v>
      </c>
      <c r="G75" s="39">
        <v>41368</v>
      </c>
      <c r="H75" s="40">
        <v>1500</v>
      </c>
      <c r="I75" s="65">
        <v>1</v>
      </c>
      <c r="J75" s="40">
        <v>1500</v>
      </c>
      <c r="K75" s="40">
        <v>300</v>
      </c>
      <c r="L75" s="40">
        <v>5</v>
      </c>
      <c r="M75" s="38"/>
    </row>
    <row r="76" spans="2:13" s="7" customFormat="1" x14ac:dyDescent="0.3">
      <c r="B76" s="5">
        <v>64</v>
      </c>
      <c r="C76" s="65"/>
      <c r="D76" s="65" t="s">
        <v>134</v>
      </c>
      <c r="E76" s="38" t="s">
        <v>243</v>
      </c>
      <c r="F76" s="38" t="s">
        <v>167</v>
      </c>
      <c r="G76" s="39">
        <v>42428</v>
      </c>
      <c r="H76" s="40">
        <v>2500</v>
      </c>
      <c r="I76" s="65">
        <v>1</v>
      </c>
      <c r="J76" s="40">
        <v>2500</v>
      </c>
      <c r="K76" s="40">
        <v>312.5</v>
      </c>
      <c r="L76" s="40">
        <v>8</v>
      </c>
      <c r="M76" s="38"/>
    </row>
    <row r="77" spans="2:13" s="7" customFormat="1" x14ac:dyDescent="0.3">
      <c r="B77" s="5">
        <v>65</v>
      </c>
      <c r="C77" s="65"/>
      <c r="D77" s="65" t="s">
        <v>168</v>
      </c>
      <c r="E77" s="38" t="s">
        <v>222</v>
      </c>
      <c r="F77" s="38" t="s">
        <v>177</v>
      </c>
      <c r="G77" s="39">
        <v>40980</v>
      </c>
      <c r="H77" s="40">
        <v>250</v>
      </c>
      <c r="I77" s="65">
        <v>1</v>
      </c>
      <c r="J77" s="40">
        <v>250</v>
      </c>
      <c r="K77" s="40">
        <v>50</v>
      </c>
      <c r="L77" s="40">
        <v>5</v>
      </c>
      <c r="M77" s="38"/>
    </row>
    <row r="78" spans="2:13" s="7" customFormat="1" x14ac:dyDescent="0.3">
      <c r="B78" s="5">
        <v>66</v>
      </c>
      <c r="C78" s="65"/>
      <c r="D78" s="65" t="s">
        <v>169</v>
      </c>
      <c r="E78" s="38" t="s">
        <v>246</v>
      </c>
      <c r="F78" s="38" t="s">
        <v>177</v>
      </c>
      <c r="G78" s="39">
        <v>41754</v>
      </c>
      <c r="H78" s="40">
        <v>500</v>
      </c>
      <c r="I78" s="65">
        <v>2</v>
      </c>
      <c r="J78" s="40">
        <v>500</v>
      </c>
      <c r="K78" s="40">
        <v>83.333333333333329</v>
      </c>
      <c r="L78" s="40">
        <v>6</v>
      </c>
      <c r="M78" s="38"/>
    </row>
    <row r="79" spans="2:13" s="7" customFormat="1" x14ac:dyDescent="0.3">
      <c r="B79" s="5">
        <v>67</v>
      </c>
      <c r="C79" s="65"/>
      <c r="D79" s="65" t="s">
        <v>170</v>
      </c>
      <c r="E79" s="38" t="s">
        <v>237</v>
      </c>
      <c r="F79" s="38" t="s">
        <v>177</v>
      </c>
      <c r="G79" s="39">
        <v>42914</v>
      </c>
      <c r="H79" s="40">
        <v>280</v>
      </c>
      <c r="I79" s="65">
        <v>1</v>
      </c>
      <c r="J79" s="40">
        <v>280</v>
      </c>
      <c r="K79" s="40">
        <v>40</v>
      </c>
      <c r="L79" s="40">
        <v>7</v>
      </c>
      <c r="M79" s="38"/>
    </row>
    <row r="80" spans="2:13" s="7" customFormat="1" x14ac:dyDescent="0.3">
      <c r="B80" s="5">
        <v>68</v>
      </c>
      <c r="C80" s="65"/>
      <c r="D80" s="65" t="s">
        <v>123</v>
      </c>
      <c r="E80" s="38" t="s">
        <v>220</v>
      </c>
      <c r="F80" s="38" t="s">
        <v>177</v>
      </c>
      <c r="G80" s="39">
        <v>42627</v>
      </c>
      <c r="H80" s="40">
        <v>16000</v>
      </c>
      <c r="I80" s="65">
        <v>1</v>
      </c>
      <c r="J80" s="40">
        <v>16000</v>
      </c>
      <c r="K80" s="40">
        <v>2285.7142857142858</v>
      </c>
      <c r="L80" s="40">
        <v>7</v>
      </c>
      <c r="M80" s="38"/>
    </row>
    <row r="81" spans="2:13" s="7" customFormat="1" x14ac:dyDescent="0.3">
      <c r="B81" s="5">
        <v>69</v>
      </c>
      <c r="C81" s="65"/>
      <c r="D81" s="65" t="s">
        <v>153</v>
      </c>
      <c r="E81" s="38" t="s">
        <v>234</v>
      </c>
      <c r="F81" s="38" t="s">
        <v>177</v>
      </c>
      <c r="G81" s="39">
        <v>42879</v>
      </c>
      <c r="H81" s="40">
        <v>2000</v>
      </c>
      <c r="I81" s="65">
        <v>1</v>
      </c>
      <c r="J81" s="40">
        <v>2000</v>
      </c>
      <c r="K81" s="40">
        <v>250</v>
      </c>
      <c r="L81" s="40">
        <v>8</v>
      </c>
      <c r="M81" s="38"/>
    </row>
    <row r="82" spans="2:13" s="7" customFormat="1" x14ac:dyDescent="0.3">
      <c r="B82" s="5">
        <v>70</v>
      </c>
      <c r="C82" s="65"/>
      <c r="D82" s="65" t="s">
        <v>122</v>
      </c>
      <c r="E82" s="38" t="s">
        <v>227</v>
      </c>
      <c r="F82" s="38" t="s">
        <v>177</v>
      </c>
      <c r="G82" s="39">
        <v>41737</v>
      </c>
      <c r="H82" s="40">
        <v>1500</v>
      </c>
      <c r="I82" s="65">
        <v>3</v>
      </c>
      <c r="J82" s="40">
        <v>1500</v>
      </c>
      <c r="K82" s="40">
        <v>250</v>
      </c>
      <c r="L82" s="40">
        <v>6</v>
      </c>
      <c r="M82" s="38"/>
    </row>
    <row r="83" spans="2:13" s="7" customFormat="1" x14ac:dyDescent="0.3">
      <c r="B83" s="5">
        <v>71</v>
      </c>
      <c r="C83" s="65"/>
      <c r="D83" s="65" t="s">
        <v>121</v>
      </c>
      <c r="E83" s="38" t="s">
        <v>223</v>
      </c>
      <c r="F83" s="38" t="s">
        <v>177</v>
      </c>
      <c r="G83" s="39">
        <v>42455</v>
      </c>
      <c r="H83" s="40">
        <v>2500</v>
      </c>
      <c r="I83" s="65">
        <v>1</v>
      </c>
      <c r="J83" s="40">
        <v>2500</v>
      </c>
      <c r="K83" s="40">
        <v>416.66666666666669</v>
      </c>
      <c r="L83" s="40">
        <v>6</v>
      </c>
      <c r="M83" s="38"/>
    </row>
    <row r="84" spans="2:13" s="7" customFormat="1" x14ac:dyDescent="0.3">
      <c r="B84" s="5">
        <v>72</v>
      </c>
      <c r="C84" s="65"/>
      <c r="D84" s="65" t="s">
        <v>171</v>
      </c>
      <c r="E84" s="38" t="s">
        <v>247</v>
      </c>
      <c r="F84" s="38" t="s">
        <v>177</v>
      </c>
      <c r="G84" s="39">
        <v>42395</v>
      </c>
      <c r="H84" s="40">
        <v>1000</v>
      </c>
      <c r="I84" s="65">
        <v>1</v>
      </c>
      <c r="J84" s="40">
        <v>1000</v>
      </c>
      <c r="K84" s="40">
        <v>200</v>
      </c>
      <c r="L84" s="40">
        <v>5</v>
      </c>
      <c r="M84" s="38"/>
    </row>
    <row r="85" spans="2:13" s="7" customFormat="1" x14ac:dyDescent="0.3">
      <c r="B85" s="5">
        <v>73</v>
      </c>
      <c r="C85" s="65"/>
      <c r="D85" s="65" t="s">
        <v>172</v>
      </c>
      <c r="E85" s="38" t="s">
        <v>248</v>
      </c>
      <c r="F85" s="38" t="s">
        <v>177</v>
      </c>
      <c r="G85" s="39">
        <v>43091</v>
      </c>
      <c r="H85" s="40">
        <v>500</v>
      </c>
      <c r="I85" s="65">
        <v>1</v>
      </c>
      <c r="J85" s="40">
        <v>500</v>
      </c>
      <c r="K85" s="40">
        <v>62.5</v>
      </c>
      <c r="L85" s="40">
        <v>8</v>
      </c>
      <c r="M85" s="38"/>
    </row>
    <row r="86" spans="2:13" s="7" customFormat="1" x14ac:dyDescent="0.3">
      <c r="B86" s="5">
        <v>74</v>
      </c>
      <c r="C86" s="65"/>
      <c r="D86" s="65" t="s">
        <v>173</v>
      </c>
      <c r="E86" s="38" t="s">
        <v>249</v>
      </c>
      <c r="F86" s="38" t="s">
        <v>177</v>
      </c>
      <c r="G86" s="39">
        <v>42221</v>
      </c>
      <c r="H86" s="40">
        <v>6000</v>
      </c>
      <c r="I86" s="65">
        <v>3</v>
      </c>
      <c r="J86" s="40">
        <v>6000</v>
      </c>
      <c r="K86" s="40">
        <v>1200</v>
      </c>
      <c r="L86" s="40">
        <v>5</v>
      </c>
      <c r="M86" s="38"/>
    </row>
    <row r="87" spans="2:13" s="7" customFormat="1" x14ac:dyDescent="0.3">
      <c r="B87" s="5">
        <v>75</v>
      </c>
      <c r="C87" s="65"/>
      <c r="D87" s="65" t="s">
        <v>174</v>
      </c>
      <c r="E87" s="38" t="s">
        <v>250</v>
      </c>
      <c r="F87" s="38" t="s">
        <v>177</v>
      </c>
      <c r="G87" s="39">
        <v>42242</v>
      </c>
      <c r="H87" s="40">
        <v>5000</v>
      </c>
      <c r="I87" s="65">
        <v>1</v>
      </c>
      <c r="J87" s="40">
        <v>5000</v>
      </c>
      <c r="K87" s="40">
        <v>833.33333333333337</v>
      </c>
      <c r="L87" s="40">
        <v>6</v>
      </c>
      <c r="M87" s="38"/>
    </row>
    <row r="88" spans="2:13" s="7" customFormat="1" x14ac:dyDescent="0.3">
      <c r="B88" s="5">
        <v>76</v>
      </c>
      <c r="C88" s="65"/>
      <c r="D88" s="65" t="s">
        <v>175</v>
      </c>
      <c r="E88" s="38" t="s">
        <v>237</v>
      </c>
      <c r="F88" s="38" t="s">
        <v>177</v>
      </c>
      <c r="G88" s="39">
        <v>42243</v>
      </c>
      <c r="H88" s="40">
        <v>600</v>
      </c>
      <c r="I88" s="65">
        <v>1</v>
      </c>
      <c r="J88" s="40">
        <v>600</v>
      </c>
      <c r="K88" s="40">
        <v>120</v>
      </c>
      <c r="L88" s="40">
        <v>5</v>
      </c>
      <c r="M88" s="38"/>
    </row>
    <row r="89" spans="2:13" s="7" customFormat="1" x14ac:dyDescent="0.3">
      <c r="B89" s="5">
        <v>77</v>
      </c>
      <c r="C89" s="65"/>
      <c r="D89" s="65" t="s">
        <v>176</v>
      </c>
      <c r="E89" s="38" t="s">
        <v>237</v>
      </c>
      <c r="F89" s="38" t="s">
        <v>177</v>
      </c>
      <c r="G89" s="39">
        <v>42244</v>
      </c>
      <c r="H89" s="40">
        <v>150</v>
      </c>
      <c r="I89" s="65">
        <v>4</v>
      </c>
      <c r="J89" s="40">
        <v>150</v>
      </c>
      <c r="K89" s="40">
        <v>30</v>
      </c>
      <c r="L89" s="40">
        <v>5</v>
      </c>
      <c r="M89" s="38"/>
    </row>
    <row r="90" spans="2:13" s="7" customFormat="1" x14ac:dyDescent="0.3">
      <c r="B90" s="5">
        <v>78</v>
      </c>
      <c r="C90" s="65"/>
      <c r="D90" s="65" t="s">
        <v>178</v>
      </c>
      <c r="E90" s="38" t="s">
        <v>251</v>
      </c>
      <c r="F90" s="38" t="s">
        <v>211</v>
      </c>
      <c r="G90" s="39">
        <v>40223</v>
      </c>
      <c r="H90" s="40">
        <v>5000</v>
      </c>
      <c r="I90" s="65">
        <v>3</v>
      </c>
      <c r="J90" s="40">
        <v>5000</v>
      </c>
      <c r="K90" s="40">
        <v>833.33333333333337</v>
      </c>
      <c r="L90" s="40">
        <v>6</v>
      </c>
      <c r="M90" s="38"/>
    </row>
    <row r="91" spans="2:13" s="7" customFormat="1" x14ac:dyDescent="0.3">
      <c r="B91" s="5">
        <v>79</v>
      </c>
      <c r="C91" s="65"/>
      <c r="D91" s="65" t="s">
        <v>179</v>
      </c>
      <c r="E91" s="38" t="s">
        <v>252</v>
      </c>
      <c r="F91" s="38" t="s">
        <v>211</v>
      </c>
      <c r="G91" s="39">
        <v>40658</v>
      </c>
      <c r="H91" s="40">
        <v>1500</v>
      </c>
      <c r="I91" s="65">
        <v>2</v>
      </c>
      <c r="J91" s="40">
        <v>1500</v>
      </c>
      <c r="K91" s="40">
        <v>250</v>
      </c>
      <c r="L91" s="40">
        <v>6</v>
      </c>
      <c r="M91" s="38"/>
    </row>
    <row r="92" spans="2:13" s="7" customFormat="1" x14ac:dyDescent="0.3">
      <c r="B92" s="5">
        <v>80</v>
      </c>
      <c r="C92" s="65"/>
      <c r="D92" s="65" t="s">
        <v>180</v>
      </c>
      <c r="E92" s="38" t="s">
        <v>253</v>
      </c>
      <c r="F92" s="38" t="s">
        <v>211</v>
      </c>
      <c r="G92" s="39">
        <v>41368</v>
      </c>
      <c r="H92" s="40">
        <v>500</v>
      </c>
      <c r="I92" s="65">
        <v>1</v>
      </c>
      <c r="J92" s="40">
        <v>500</v>
      </c>
      <c r="K92" s="40">
        <v>83.333333333333329</v>
      </c>
      <c r="L92" s="40">
        <v>6</v>
      </c>
      <c r="M92" s="38"/>
    </row>
    <row r="93" spans="2:13" s="7" customFormat="1" x14ac:dyDescent="0.3">
      <c r="B93" s="5">
        <v>81</v>
      </c>
      <c r="C93" s="65"/>
      <c r="D93" s="65" t="s">
        <v>174</v>
      </c>
      <c r="E93" s="38" t="s">
        <v>250</v>
      </c>
      <c r="F93" s="38" t="s">
        <v>211</v>
      </c>
      <c r="G93" s="39">
        <v>42428</v>
      </c>
      <c r="H93" s="40">
        <v>5000</v>
      </c>
      <c r="I93" s="65">
        <v>1</v>
      </c>
      <c r="J93" s="40">
        <v>5000</v>
      </c>
      <c r="K93" s="40">
        <v>625</v>
      </c>
      <c r="L93" s="40">
        <v>8</v>
      </c>
      <c r="M93" s="38"/>
    </row>
    <row r="94" spans="2:13" s="7" customFormat="1" x14ac:dyDescent="0.3">
      <c r="B94" s="5">
        <v>82</v>
      </c>
      <c r="C94" s="65"/>
      <c r="D94" s="65" t="s">
        <v>181</v>
      </c>
      <c r="E94" s="38" t="s">
        <v>254</v>
      </c>
      <c r="F94" s="38" t="s">
        <v>211</v>
      </c>
      <c r="G94" s="39">
        <v>40980</v>
      </c>
      <c r="H94" s="40">
        <v>5000</v>
      </c>
      <c r="I94" s="65">
        <v>1</v>
      </c>
      <c r="J94" s="40">
        <v>5000</v>
      </c>
      <c r="K94" s="40">
        <v>625</v>
      </c>
      <c r="L94" s="40">
        <v>8</v>
      </c>
      <c r="M94" s="38"/>
    </row>
    <row r="95" spans="2:13" s="7" customFormat="1" x14ac:dyDescent="0.3">
      <c r="B95" s="5">
        <v>83</v>
      </c>
      <c r="C95" s="65"/>
      <c r="D95" s="65" t="s">
        <v>182</v>
      </c>
      <c r="E95" s="38" t="s">
        <v>255</v>
      </c>
      <c r="F95" s="38" t="s">
        <v>211</v>
      </c>
      <c r="G95" s="39">
        <v>41754</v>
      </c>
      <c r="H95" s="40">
        <v>100000</v>
      </c>
      <c r="I95" s="65">
        <v>1</v>
      </c>
      <c r="J95" s="40">
        <v>100000</v>
      </c>
      <c r="K95" s="40">
        <v>14285.714285714286</v>
      </c>
      <c r="L95" s="40">
        <v>7</v>
      </c>
      <c r="M95" s="38"/>
    </row>
    <row r="96" spans="2:13" s="7" customFormat="1" x14ac:dyDescent="0.3">
      <c r="B96" s="5">
        <v>84</v>
      </c>
      <c r="C96" s="65"/>
      <c r="D96" s="65" t="s">
        <v>183</v>
      </c>
      <c r="E96" s="38" t="s">
        <v>256</v>
      </c>
      <c r="F96" s="38" t="s">
        <v>211</v>
      </c>
      <c r="G96" s="39">
        <v>42914</v>
      </c>
      <c r="H96" s="40">
        <v>2500</v>
      </c>
      <c r="I96" s="65">
        <v>1</v>
      </c>
      <c r="J96" s="40">
        <v>2500</v>
      </c>
      <c r="K96" s="40">
        <v>357.14285714285717</v>
      </c>
      <c r="L96" s="40">
        <v>7</v>
      </c>
      <c r="M96" s="38"/>
    </row>
    <row r="97" spans="2:13" s="7" customFormat="1" x14ac:dyDescent="0.3">
      <c r="B97" s="5">
        <v>85</v>
      </c>
      <c r="C97" s="65"/>
      <c r="D97" s="65" t="s">
        <v>184</v>
      </c>
      <c r="E97" s="38" t="s">
        <v>257</v>
      </c>
      <c r="F97" s="38" t="s">
        <v>211</v>
      </c>
      <c r="G97" s="39">
        <v>42627</v>
      </c>
      <c r="H97" s="40">
        <v>3000</v>
      </c>
      <c r="I97" s="65">
        <v>1</v>
      </c>
      <c r="J97" s="40">
        <v>3000</v>
      </c>
      <c r="K97" s="40">
        <v>428.57142857142856</v>
      </c>
      <c r="L97" s="40">
        <v>7</v>
      </c>
      <c r="M97" s="38"/>
    </row>
    <row r="98" spans="2:13" s="7" customFormat="1" x14ac:dyDescent="0.3">
      <c r="B98" s="5">
        <v>86</v>
      </c>
      <c r="C98" s="65"/>
      <c r="D98" s="65" t="s">
        <v>185</v>
      </c>
      <c r="E98" s="38" t="s">
        <v>258</v>
      </c>
      <c r="F98" s="38" t="s">
        <v>211</v>
      </c>
      <c r="G98" s="39">
        <v>42879</v>
      </c>
      <c r="H98" s="40">
        <v>5000</v>
      </c>
      <c r="I98" s="65">
        <v>2</v>
      </c>
      <c r="J98" s="40">
        <v>5000</v>
      </c>
      <c r="K98" s="40">
        <v>833.33333333333337</v>
      </c>
      <c r="L98" s="40">
        <v>6</v>
      </c>
      <c r="M98" s="38"/>
    </row>
    <row r="99" spans="2:13" s="7" customFormat="1" x14ac:dyDescent="0.3">
      <c r="B99" s="5">
        <v>87</v>
      </c>
      <c r="C99" s="65"/>
      <c r="D99" s="65" t="s">
        <v>186</v>
      </c>
      <c r="E99" s="38" t="s">
        <v>259</v>
      </c>
      <c r="F99" s="38" t="s">
        <v>211</v>
      </c>
      <c r="G99" s="39">
        <v>41737</v>
      </c>
      <c r="H99" s="40">
        <v>2500</v>
      </c>
      <c r="I99" s="65">
        <v>2</v>
      </c>
      <c r="J99" s="40">
        <v>2500</v>
      </c>
      <c r="K99" s="40">
        <v>500</v>
      </c>
      <c r="L99" s="40">
        <v>5</v>
      </c>
      <c r="M99" s="38"/>
    </row>
    <row r="100" spans="2:13" s="7" customFormat="1" x14ac:dyDescent="0.3">
      <c r="B100" s="5">
        <v>88</v>
      </c>
      <c r="C100" s="65"/>
      <c r="D100" s="65" t="s">
        <v>187</v>
      </c>
      <c r="E100" s="38" t="s">
        <v>259</v>
      </c>
      <c r="F100" s="38" t="s">
        <v>211</v>
      </c>
      <c r="G100" s="39">
        <v>42455</v>
      </c>
      <c r="H100" s="40">
        <v>2500</v>
      </c>
      <c r="I100" s="65">
        <v>1</v>
      </c>
      <c r="J100" s="40">
        <v>2500</v>
      </c>
      <c r="K100" s="40">
        <v>312.5</v>
      </c>
      <c r="L100" s="40">
        <v>8</v>
      </c>
      <c r="M100" s="38"/>
    </row>
    <row r="101" spans="2:13" s="7" customFormat="1" x14ac:dyDescent="0.3">
      <c r="B101" s="5">
        <v>89</v>
      </c>
      <c r="C101" s="65"/>
      <c r="D101" s="65" t="s">
        <v>188</v>
      </c>
      <c r="E101" s="38" t="s">
        <v>248</v>
      </c>
      <c r="F101" s="38" t="s">
        <v>211</v>
      </c>
      <c r="G101" s="39">
        <v>42395</v>
      </c>
      <c r="H101" s="40">
        <v>10500</v>
      </c>
      <c r="I101" s="65">
        <v>1</v>
      </c>
      <c r="J101" s="40">
        <v>10500</v>
      </c>
      <c r="K101" s="40">
        <v>2100</v>
      </c>
      <c r="L101" s="40">
        <v>5</v>
      </c>
      <c r="M101" s="38"/>
    </row>
    <row r="102" spans="2:13" s="7" customFormat="1" x14ac:dyDescent="0.3">
      <c r="B102" s="5">
        <v>90</v>
      </c>
      <c r="C102" s="65"/>
      <c r="D102" s="65" t="s">
        <v>189</v>
      </c>
      <c r="E102" s="68" t="s">
        <v>191</v>
      </c>
      <c r="F102" s="38" t="s">
        <v>211</v>
      </c>
      <c r="G102" s="39">
        <v>43091</v>
      </c>
      <c r="H102" s="40">
        <v>1000</v>
      </c>
      <c r="I102" s="65">
        <v>1</v>
      </c>
      <c r="J102" s="40">
        <v>1000</v>
      </c>
      <c r="K102" s="40">
        <v>166.66666666666666</v>
      </c>
      <c r="L102" s="40">
        <v>6</v>
      </c>
      <c r="M102" s="38"/>
    </row>
    <row r="103" spans="2:13" s="7" customFormat="1" x14ac:dyDescent="0.3">
      <c r="B103" s="5">
        <v>91</v>
      </c>
      <c r="C103" s="65"/>
      <c r="D103" s="65" t="s">
        <v>190</v>
      </c>
      <c r="E103" s="38" t="s">
        <v>260</v>
      </c>
      <c r="F103" s="38" t="s">
        <v>211</v>
      </c>
      <c r="G103" s="39">
        <v>42221</v>
      </c>
      <c r="H103" s="40">
        <v>1000</v>
      </c>
      <c r="I103" s="65">
        <v>2</v>
      </c>
      <c r="J103" s="40">
        <v>1000</v>
      </c>
      <c r="K103" s="40">
        <v>142.85714285714286</v>
      </c>
      <c r="L103" s="40">
        <v>7</v>
      </c>
      <c r="M103" s="38"/>
    </row>
    <row r="104" spans="2:13" s="7" customFormat="1" x14ac:dyDescent="0.3">
      <c r="B104" s="5">
        <v>92</v>
      </c>
      <c r="C104" s="65"/>
      <c r="D104" s="65" t="s">
        <v>191</v>
      </c>
      <c r="E104" s="38" t="s">
        <v>261</v>
      </c>
      <c r="F104" s="38" t="s">
        <v>211</v>
      </c>
      <c r="G104" s="39">
        <v>42242</v>
      </c>
      <c r="H104" s="40">
        <v>2900</v>
      </c>
      <c r="I104" s="65">
        <v>1</v>
      </c>
      <c r="J104" s="40">
        <v>2900</v>
      </c>
      <c r="K104" s="40">
        <v>414.28571428571428</v>
      </c>
      <c r="L104" s="40">
        <v>7</v>
      </c>
      <c r="M104" s="38"/>
    </row>
    <row r="105" spans="2:13" s="7" customFormat="1" x14ac:dyDescent="0.3">
      <c r="B105" s="5">
        <v>93</v>
      </c>
      <c r="C105" s="65"/>
      <c r="D105" s="65" t="s">
        <v>192</v>
      </c>
      <c r="E105" s="38" t="s">
        <v>262</v>
      </c>
      <c r="F105" s="38" t="s">
        <v>211</v>
      </c>
      <c r="G105" s="39">
        <v>42243</v>
      </c>
      <c r="H105" s="40">
        <v>3000</v>
      </c>
      <c r="I105" s="65">
        <v>2</v>
      </c>
      <c r="J105" s="40">
        <v>3000</v>
      </c>
      <c r="K105" s="40">
        <v>375</v>
      </c>
      <c r="L105" s="40">
        <v>8</v>
      </c>
      <c r="M105" s="38"/>
    </row>
    <row r="106" spans="2:13" s="7" customFormat="1" x14ac:dyDescent="0.3">
      <c r="B106" s="5">
        <v>94</v>
      </c>
      <c r="C106" s="65"/>
      <c r="D106" s="65" t="s">
        <v>193</v>
      </c>
      <c r="E106" s="38" t="s">
        <v>248</v>
      </c>
      <c r="F106" s="38" t="s">
        <v>211</v>
      </c>
      <c r="G106" s="39">
        <v>42244</v>
      </c>
      <c r="H106" s="40">
        <v>2000</v>
      </c>
      <c r="I106" s="65">
        <v>1</v>
      </c>
      <c r="J106" s="40">
        <v>2000</v>
      </c>
      <c r="K106" s="40">
        <v>333.33333333333331</v>
      </c>
      <c r="L106" s="40">
        <v>6</v>
      </c>
      <c r="M106" s="38"/>
    </row>
    <row r="107" spans="2:13" s="7" customFormat="1" x14ac:dyDescent="0.3">
      <c r="B107" s="5">
        <v>95</v>
      </c>
      <c r="C107" s="65"/>
      <c r="D107" s="65" t="s">
        <v>194</v>
      </c>
      <c r="E107" s="38" t="s">
        <v>263</v>
      </c>
      <c r="F107" s="38" t="s">
        <v>211</v>
      </c>
      <c r="G107" s="39">
        <v>40223</v>
      </c>
      <c r="H107" s="40">
        <v>15000</v>
      </c>
      <c r="I107" s="65">
        <v>1</v>
      </c>
      <c r="J107" s="40">
        <v>15000</v>
      </c>
      <c r="K107" s="40">
        <v>2500</v>
      </c>
      <c r="L107" s="40">
        <v>6</v>
      </c>
      <c r="M107" s="38"/>
    </row>
    <row r="108" spans="2:13" s="7" customFormat="1" x14ac:dyDescent="0.3">
      <c r="B108" s="5">
        <v>96</v>
      </c>
      <c r="C108" s="65"/>
      <c r="D108" s="65" t="s">
        <v>195</v>
      </c>
      <c r="E108" s="38" t="s">
        <v>259</v>
      </c>
      <c r="F108" s="38" t="s">
        <v>211</v>
      </c>
      <c r="G108" s="39">
        <v>40658</v>
      </c>
      <c r="H108" s="40">
        <v>1000</v>
      </c>
      <c r="I108" s="65">
        <v>2</v>
      </c>
      <c r="J108" s="40">
        <v>1000</v>
      </c>
      <c r="K108" s="40">
        <v>200</v>
      </c>
      <c r="L108" s="40">
        <v>5</v>
      </c>
      <c r="M108" s="38"/>
    </row>
    <row r="109" spans="2:13" s="7" customFormat="1" x14ac:dyDescent="0.3">
      <c r="B109" s="5">
        <v>97</v>
      </c>
      <c r="C109" s="65"/>
      <c r="D109" s="65" t="s">
        <v>196</v>
      </c>
      <c r="E109" s="38" t="s">
        <v>259</v>
      </c>
      <c r="F109" s="38" t="s">
        <v>211</v>
      </c>
      <c r="G109" s="39">
        <v>41368</v>
      </c>
      <c r="H109" s="40">
        <v>1500</v>
      </c>
      <c r="I109" s="65">
        <v>1</v>
      </c>
      <c r="J109" s="40">
        <v>1500</v>
      </c>
      <c r="K109" s="40">
        <v>187.5</v>
      </c>
      <c r="L109" s="40">
        <v>8</v>
      </c>
      <c r="M109" s="38"/>
    </row>
    <row r="110" spans="2:13" s="7" customFormat="1" x14ac:dyDescent="0.3">
      <c r="B110" s="5">
        <v>98</v>
      </c>
      <c r="C110" s="65"/>
      <c r="D110" s="65" t="s">
        <v>197</v>
      </c>
      <c r="E110" s="38" t="s">
        <v>259</v>
      </c>
      <c r="F110" s="38" t="s">
        <v>211</v>
      </c>
      <c r="G110" s="39">
        <v>42428</v>
      </c>
      <c r="H110" s="40">
        <v>500</v>
      </c>
      <c r="I110" s="65">
        <v>5</v>
      </c>
      <c r="J110" s="40">
        <v>500</v>
      </c>
      <c r="K110" s="40">
        <v>100</v>
      </c>
      <c r="L110" s="40">
        <v>5</v>
      </c>
      <c r="M110" s="38"/>
    </row>
    <row r="111" spans="2:13" s="7" customFormat="1" x14ac:dyDescent="0.3">
      <c r="B111" s="5">
        <v>99</v>
      </c>
      <c r="C111" s="65"/>
      <c r="D111" s="68" t="s">
        <v>188</v>
      </c>
      <c r="E111" s="38" t="s">
        <v>245</v>
      </c>
      <c r="F111" s="38" t="s">
        <v>211</v>
      </c>
      <c r="G111" s="39">
        <v>40980</v>
      </c>
      <c r="H111" s="40">
        <v>250</v>
      </c>
      <c r="I111" s="65">
        <v>2</v>
      </c>
      <c r="J111" s="40">
        <v>250</v>
      </c>
      <c r="K111" s="40">
        <v>41.666666666666664</v>
      </c>
      <c r="L111" s="40">
        <v>6</v>
      </c>
      <c r="M111" s="38"/>
    </row>
    <row r="112" spans="2:13" s="7" customFormat="1" x14ac:dyDescent="0.3">
      <c r="B112" s="5">
        <v>100</v>
      </c>
      <c r="C112" s="65"/>
      <c r="D112" s="65" t="s">
        <v>198</v>
      </c>
      <c r="E112" s="38" t="s">
        <v>264</v>
      </c>
      <c r="F112" s="38" t="s">
        <v>211</v>
      </c>
      <c r="G112" s="39">
        <v>41754</v>
      </c>
      <c r="H112" s="40">
        <v>250</v>
      </c>
      <c r="I112" s="65">
        <v>3</v>
      </c>
      <c r="J112" s="40">
        <v>250</v>
      </c>
      <c r="K112" s="40">
        <v>50</v>
      </c>
      <c r="L112" s="40">
        <v>5</v>
      </c>
      <c r="M112" s="38"/>
    </row>
    <row r="113" spans="2:13" s="7" customFormat="1" x14ac:dyDescent="0.3">
      <c r="B113" s="5">
        <v>101</v>
      </c>
      <c r="C113" s="65"/>
      <c r="D113" s="65" t="s">
        <v>199</v>
      </c>
      <c r="E113" s="38" t="s">
        <v>265</v>
      </c>
      <c r="F113" s="38" t="s">
        <v>211</v>
      </c>
      <c r="G113" s="39">
        <v>42914</v>
      </c>
      <c r="H113" s="40">
        <v>200</v>
      </c>
      <c r="I113" s="65">
        <v>1</v>
      </c>
      <c r="J113" s="40">
        <v>200</v>
      </c>
      <c r="K113" s="40">
        <v>40</v>
      </c>
      <c r="L113" s="40">
        <v>5</v>
      </c>
      <c r="M113" s="38"/>
    </row>
    <row r="114" spans="2:13" s="7" customFormat="1" x14ac:dyDescent="0.3">
      <c r="B114" s="5">
        <v>102</v>
      </c>
      <c r="C114" s="65"/>
      <c r="D114" s="65" t="s">
        <v>169</v>
      </c>
      <c r="E114" s="38" t="s">
        <v>246</v>
      </c>
      <c r="F114" s="38" t="s">
        <v>211</v>
      </c>
      <c r="G114" s="39">
        <v>42627</v>
      </c>
      <c r="H114" s="40">
        <v>800</v>
      </c>
      <c r="I114" s="65">
        <v>1</v>
      </c>
      <c r="J114" s="40">
        <v>800</v>
      </c>
      <c r="K114" s="40">
        <v>133.33333333333334</v>
      </c>
      <c r="L114" s="40">
        <v>6</v>
      </c>
      <c r="M114" s="38"/>
    </row>
    <row r="115" spans="2:13" s="7" customFormat="1" x14ac:dyDescent="0.3">
      <c r="B115" s="5">
        <v>103</v>
      </c>
      <c r="C115" s="65"/>
      <c r="D115" s="65" t="s">
        <v>200</v>
      </c>
      <c r="E115" s="38" t="s">
        <v>266</v>
      </c>
      <c r="F115" s="38" t="s">
        <v>211</v>
      </c>
      <c r="G115" s="39">
        <v>42879</v>
      </c>
      <c r="H115" s="40">
        <v>700</v>
      </c>
      <c r="I115" s="65">
        <v>1</v>
      </c>
      <c r="J115" s="40">
        <v>700</v>
      </c>
      <c r="K115" s="40">
        <v>116.66666666666667</v>
      </c>
      <c r="L115" s="40">
        <v>6</v>
      </c>
      <c r="M115" s="38"/>
    </row>
    <row r="116" spans="2:13" s="7" customFormat="1" x14ac:dyDescent="0.3">
      <c r="B116" s="5">
        <v>104</v>
      </c>
      <c r="C116" s="65"/>
      <c r="D116" s="65" t="s">
        <v>168</v>
      </c>
      <c r="E116" s="38" t="s">
        <v>222</v>
      </c>
      <c r="F116" s="38" t="s">
        <v>211</v>
      </c>
      <c r="G116" s="39">
        <v>42901</v>
      </c>
      <c r="H116" s="40">
        <v>250</v>
      </c>
      <c r="I116" s="65">
        <v>1</v>
      </c>
      <c r="J116" s="40">
        <v>250</v>
      </c>
      <c r="K116" s="40">
        <v>41.666666666666664</v>
      </c>
      <c r="L116" s="40">
        <v>6</v>
      </c>
      <c r="M116" s="38"/>
    </row>
    <row r="117" spans="2:13" s="7" customFormat="1" x14ac:dyDescent="0.3">
      <c r="B117" s="5">
        <v>105</v>
      </c>
      <c r="C117" s="65"/>
      <c r="D117" s="65" t="s">
        <v>119</v>
      </c>
      <c r="E117" s="38" t="s">
        <v>221</v>
      </c>
      <c r="F117" s="38" t="s">
        <v>211</v>
      </c>
      <c r="G117" s="39">
        <v>41737</v>
      </c>
      <c r="H117" s="40">
        <v>300</v>
      </c>
      <c r="I117" s="65">
        <v>1</v>
      </c>
      <c r="J117" s="40">
        <v>300</v>
      </c>
      <c r="K117" s="40">
        <v>37.5</v>
      </c>
      <c r="L117" s="40">
        <v>8</v>
      </c>
      <c r="M117" s="38"/>
    </row>
    <row r="118" spans="2:13" s="7" customFormat="1" x14ac:dyDescent="0.3">
      <c r="B118" s="5">
        <v>106</v>
      </c>
      <c r="C118" s="65"/>
      <c r="D118" s="65" t="s">
        <v>201</v>
      </c>
      <c r="E118" s="38" t="s">
        <v>267</v>
      </c>
      <c r="F118" s="38" t="s">
        <v>211</v>
      </c>
      <c r="G118" s="39">
        <v>42455</v>
      </c>
      <c r="H118" s="40">
        <v>600</v>
      </c>
      <c r="I118" s="65">
        <v>1</v>
      </c>
      <c r="J118" s="40">
        <v>600</v>
      </c>
      <c r="K118" s="40">
        <v>75</v>
      </c>
      <c r="L118" s="40">
        <v>8</v>
      </c>
      <c r="M118" s="38"/>
    </row>
    <row r="119" spans="2:13" s="7" customFormat="1" x14ac:dyDescent="0.3">
      <c r="B119" s="5">
        <v>107</v>
      </c>
      <c r="C119" s="65"/>
      <c r="D119" s="65" t="s">
        <v>153</v>
      </c>
      <c r="E119" s="38" t="s">
        <v>234</v>
      </c>
      <c r="F119" s="38" t="s">
        <v>211</v>
      </c>
      <c r="G119" s="39">
        <v>42395</v>
      </c>
      <c r="H119" s="40">
        <v>2500</v>
      </c>
      <c r="I119" s="65">
        <v>1</v>
      </c>
      <c r="J119" s="40">
        <v>2500</v>
      </c>
      <c r="K119" s="40">
        <v>357.14285714285717</v>
      </c>
      <c r="L119" s="40">
        <v>7</v>
      </c>
      <c r="M119" s="38"/>
    </row>
    <row r="120" spans="2:13" s="7" customFormat="1" x14ac:dyDescent="0.3">
      <c r="B120" s="5">
        <v>108</v>
      </c>
      <c r="C120" s="65"/>
      <c r="D120" s="65" t="s">
        <v>202</v>
      </c>
      <c r="E120" s="38" t="s">
        <v>237</v>
      </c>
      <c r="F120" s="38" t="s">
        <v>211</v>
      </c>
      <c r="G120" s="39">
        <v>43091</v>
      </c>
      <c r="H120" s="40">
        <v>4000</v>
      </c>
      <c r="I120" s="65">
        <v>1</v>
      </c>
      <c r="J120" s="40">
        <v>4000</v>
      </c>
      <c r="K120" s="40">
        <v>571.42857142857144</v>
      </c>
      <c r="L120" s="40">
        <v>7</v>
      </c>
      <c r="M120" s="38"/>
    </row>
    <row r="121" spans="2:13" s="7" customFormat="1" x14ac:dyDescent="0.3">
      <c r="B121" s="5">
        <v>109</v>
      </c>
      <c r="C121" s="65"/>
      <c r="D121" s="65" t="s">
        <v>122</v>
      </c>
      <c r="E121" s="38" t="s">
        <v>240</v>
      </c>
      <c r="F121" s="38" t="s">
        <v>211</v>
      </c>
      <c r="G121" s="39">
        <v>42221</v>
      </c>
      <c r="H121" s="40">
        <v>4000</v>
      </c>
      <c r="I121" s="65">
        <v>2</v>
      </c>
      <c r="J121" s="40">
        <v>4000</v>
      </c>
      <c r="K121" s="40">
        <v>571.42857142857144</v>
      </c>
      <c r="L121" s="40">
        <v>7</v>
      </c>
      <c r="M121" s="38"/>
    </row>
    <row r="122" spans="2:13" s="7" customFormat="1" x14ac:dyDescent="0.3">
      <c r="B122" s="5">
        <v>110</v>
      </c>
      <c r="C122" s="65"/>
      <c r="D122" s="65" t="s">
        <v>203</v>
      </c>
      <c r="E122" s="38" t="s">
        <v>268</v>
      </c>
      <c r="F122" s="38" t="s">
        <v>211</v>
      </c>
      <c r="G122" s="39">
        <v>42242</v>
      </c>
      <c r="H122" s="40">
        <v>200</v>
      </c>
      <c r="I122" s="65">
        <v>1</v>
      </c>
      <c r="J122" s="40">
        <v>200</v>
      </c>
      <c r="K122" s="40">
        <v>33.333333333333336</v>
      </c>
      <c r="L122" s="40">
        <v>6</v>
      </c>
      <c r="M122" s="38"/>
    </row>
    <row r="123" spans="2:13" s="7" customFormat="1" x14ac:dyDescent="0.3">
      <c r="B123" s="5">
        <v>111</v>
      </c>
      <c r="C123" s="65"/>
      <c r="D123" s="65" t="s">
        <v>204</v>
      </c>
      <c r="E123" s="38" t="s">
        <v>269</v>
      </c>
      <c r="F123" s="38" t="s">
        <v>211</v>
      </c>
      <c r="G123" s="39">
        <v>42243</v>
      </c>
      <c r="H123" s="40">
        <v>300</v>
      </c>
      <c r="I123" s="65">
        <v>1</v>
      </c>
      <c r="J123" s="40">
        <v>300</v>
      </c>
      <c r="K123" s="40">
        <v>60</v>
      </c>
      <c r="L123" s="40">
        <v>5</v>
      </c>
      <c r="M123" s="38"/>
    </row>
    <row r="124" spans="2:13" s="7" customFormat="1" x14ac:dyDescent="0.3">
      <c r="B124" s="5">
        <v>112</v>
      </c>
      <c r="C124" s="65"/>
      <c r="D124" s="65" t="s">
        <v>205</v>
      </c>
      <c r="E124" s="38" t="s">
        <v>270</v>
      </c>
      <c r="F124" s="38" t="s">
        <v>211</v>
      </c>
      <c r="G124" s="39">
        <v>42244</v>
      </c>
      <c r="H124" s="40">
        <v>900</v>
      </c>
      <c r="I124" s="65">
        <v>3</v>
      </c>
      <c r="J124" s="40">
        <v>900</v>
      </c>
      <c r="K124" s="40">
        <v>112.5</v>
      </c>
      <c r="L124" s="40">
        <v>8</v>
      </c>
      <c r="M124" s="38"/>
    </row>
    <row r="125" spans="2:13" s="7" customFormat="1" x14ac:dyDescent="0.3">
      <c r="B125" s="5">
        <v>113</v>
      </c>
      <c r="C125" s="65"/>
      <c r="D125" s="65" t="s">
        <v>206</v>
      </c>
      <c r="E125" s="38" t="s">
        <v>271</v>
      </c>
      <c r="F125" s="38" t="s">
        <v>211</v>
      </c>
      <c r="G125" s="39">
        <v>40223</v>
      </c>
      <c r="H125" s="40">
        <v>250</v>
      </c>
      <c r="I125" s="65">
        <v>1</v>
      </c>
      <c r="J125" s="40">
        <v>250</v>
      </c>
      <c r="K125" s="40">
        <v>50</v>
      </c>
      <c r="L125" s="40">
        <v>5</v>
      </c>
      <c r="M125" s="38"/>
    </row>
    <row r="126" spans="2:13" s="7" customFormat="1" x14ac:dyDescent="0.3">
      <c r="B126" s="5">
        <v>114</v>
      </c>
      <c r="C126" s="65"/>
      <c r="D126" s="65" t="s">
        <v>207</v>
      </c>
      <c r="E126" s="38" t="s">
        <v>272</v>
      </c>
      <c r="F126" s="38" t="s">
        <v>211</v>
      </c>
      <c r="G126" s="39">
        <v>40658</v>
      </c>
      <c r="H126" s="40">
        <v>400</v>
      </c>
      <c r="I126" s="65">
        <v>1</v>
      </c>
      <c r="J126" s="40">
        <v>400</v>
      </c>
      <c r="K126" s="40">
        <v>66.666666666666671</v>
      </c>
      <c r="L126" s="40">
        <v>6</v>
      </c>
      <c r="M126" s="38"/>
    </row>
    <row r="127" spans="2:13" s="7" customFormat="1" x14ac:dyDescent="0.3">
      <c r="B127" s="5">
        <v>115</v>
      </c>
      <c r="C127" s="65"/>
      <c r="D127" s="65" t="s">
        <v>121</v>
      </c>
      <c r="E127" s="38" t="s">
        <v>223</v>
      </c>
      <c r="F127" s="38" t="s">
        <v>211</v>
      </c>
      <c r="G127" s="39">
        <v>41368</v>
      </c>
      <c r="H127" s="40">
        <v>2500</v>
      </c>
      <c r="I127" s="65">
        <v>2</v>
      </c>
      <c r="J127" s="40">
        <v>2500</v>
      </c>
      <c r="K127" s="40">
        <v>357.14285714285717</v>
      </c>
      <c r="L127" s="40">
        <v>7</v>
      </c>
      <c r="M127" s="38"/>
    </row>
    <row r="128" spans="2:13" s="7" customFormat="1" x14ac:dyDescent="0.3">
      <c r="B128" s="5">
        <v>116</v>
      </c>
      <c r="C128" s="65"/>
      <c r="D128" s="65" t="s">
        <v>208</v>
      </c>
      <c r="E128" s="38" t="s">
        <v>223</v>
      </c>
      <c r="F128" s="38" t="s">
        <v>211</v>
      </c>
      <c r="G128" s="39">
        <v>42428</v>
      </c>
      <c r="H128" s="40">
        <v>2500</v>
      </c>
      <c r="I128" s="65">
        <v>1</v>
      </c>
      <c r="J128" s="40">
        <v>2500</v>
      </c>
      <c r="K128" s="40">
        <v>357.14285714285717</v>
      </c>
      <c r="L128" s="40">
        <v>7</v>
      </c>
      <c r="M128" s="38"/>
    </row>
    <row r="129" spans="2:13" s="7" customFormat="1" x14ac:dyDescent="0.3">
      <c r="B129" s="5">
        <v>117</v>
      </c>
      <c r="C129" s="65"/>
      <c r="D129" s="65" t="s">
        <v>140</v>
      </c>
      <c r="E129" s="38" t="s">
        <v>238</v>
      </c>
      <c r="F129" s="38" t="s">
        <v>211</v>
      </c>
      <c r="G129" s="39">
        <v>40980</v>
      </c>
      <c r="H129" s="40">
        <v>1000</v>
      </c>
      <c r="I129" s="65">
        <v>1</v>
      </c>
      <c r="J129" s="40">
        <v>1000</v>
      </c>
      <c r="K129" s="40">
        <v>125</v>
      </c>
      <c r="L129" s="40">
        <v>8</v>
      </c>
      <c r="M129" s="38"/>
    </row>
    <row r="130" spans="2:13" s="7" customFormat="1" x14ac:dyDescent="0.3">
      <c r="B130" s="5">
        <v>118</v>
      </c>
      <c r="C130" s="65"/>
      <c r="D130" s="65" t="s">
        <v>209</v>
      </c>
      <c r="E130" s="38" t="s">
        <v>273</v>
      </c>
      <c r="F130" s="38" t="s">
        <v>211</v>
      </c>
      <c r="G130" s="39">
        <v>41754</v>
      </c>
      <c r="H130" s="40">
        <v>2000</v>
      </c>
      <c r="I130" s="65">
        <v>1</v>
      </c>
      <c r="J130" s="40">
        <v>2000</v>
      </c>
      <c r="K130" s="40">
        <v>333.33333333333331</v>
      </c>
      <c r="L130" s="40">
        <v>6</v>
      </c>
      <c r="M130" s="38"/>
    </row>
    <row r="131" spans="2:13" s="7" customFormat="1" x14ac:dyDescent="0.3">
      <c r="B131" s="5">
        <v>119</v>
      </c>
      <c r="C131" s="65"/>
      <c r="D131" s="65" t="s">
        <v>127</v>
      </c>
      <c r="E131" s="38" t="s">
        <v>224</v>
      </c>
      <c r="F131" s="38" t="s">
        <v>211</v>
      </c>
      <c r="G131" s="39">
        <v>42914</v>
      </c>
      <c r="H131" s="40">
        <v>3000</v>
      </c>
      <c r="I131" s="65">
        <v>1</v>
      </c>
      <c r="J131" s="40">
        <v>3000</v>
      </c>
      <c r="K131" s="40">
        <v>500</v>
      </c>
      <c r="L131" s="40">
        <v>6</v>
      </c>
      <c r="M131" s="38"/>
    </row>
    <row r="132" spans="2:13" s="7" customFormat="1" x14ac:dyDescent="0.3">
      <c r="B132" s="5">
        <v>120</v>
      </c>
      <c r="C132" s="65"/>
      <c r="D132" s="65" t="s">
        <v>210</v>
      </c>
      <c r="E132" s="38" t="s">
        <v>274</v>
      </c>
      <c r="F132" s="38" t="s">
        <v>211</v>
      </c>
      <c r="G132" s="39">
        <v>42627</v>
      </c>
      <c r="H132" s="40">
        <v>2500</v>
      </c>
      <c r="I132" s="65">
        <v>1</v>
      </c>
      <c r="J132" s="40">
        <v>2500</v>
      </c>
      <c r="K132" s="40">
        <v>500</v>
      </c>
      <c r="L132" s="40">
        <v>5</v>
      </c>
      <c r="M132" s="38"/>
    </row>
    <row r="133" spans="2:13" s="7" customFormat="1" x14ac:dyDescent="0.3">
      <c r="B133" s="5">
        <v>121</v>
      </c>
      <c r="C133" s="65"/>
      <c r="D133" s="65" t="s">
        <v>134</v>
      </c>
      <c r="E133" s="38" t="s">
        <v>243</v>
      </c>
      <c r="F133" s="38" t="s">
        <v>211</v>
      </c>
      <c r="G133" s="39">
        <v>42879</v>
      </c>
      <c r="H133" s="40">
        <v>1600</v>
      </c>
      <c r="I133" s="65">
        <v>1</v>
      </c>
      <c r="J133" s="40">
        <v>1600</v>
      </c>
      <c r="K133" s="40">
        <v>200</v>
      </c>
      <c r="L133" s="40">
        <v>8</v>
      </c>
      <c r="M133" s="38"/>
    </row>
    <row r="134" spans="2:13" s="7" customFormat="1" x14ac:dyDescent="0.3">
      <c r="B134" s="5">
        <v>122</v>
      </c>
      <c r="C134" s="65"/>
      <c r="D134" s="65" t="s">
        <v>123</v>
      </c>
      <c r="E134" s="38" t="s">
        <v>220</v>
      </c>
      <c r="F134" s="38" t="s">
        <v>211</v>
      </c>
      <c r="G134" s="39">
        <v>41737</v>
      </c>
      <c r="H134" s="40">
        <v>2500</v>
      </c>
      <c r="I134" s="65">
        <v>1</v>
      </c>
      <c r="J134" s="40">
        <v>2500</v>
      </c>
      <c r="K134" s="40">
        <v>500</v>
      </c>
      <c r="L134" s="40">
        <v>5</v>
      </c>
      <c r="M134" s="38"/>
    </row>
    <row r="135" spans="2:13" s="7" customFormat="1" x14ac:dyDescent="0.3">
      <c r="B135" s="5">
        <v>123</v>
      </c>
      <c r="C135" s="65"/>
      <c r="D135" s="65" t="s">
        <v>142</v>
      </c>
      <c r="E135" s="38" t="s">
        <v>275</v>
      </c>
      <c r="F135" s="38" t="s">
        <v>216</v>
      </c>
      <c r="G135" s="39">
        <v>42455</v>
      </c>
      <c r="H135" s="40">
        <v>16000</v>
      </c>
      <c r="I135" s="65">
        <v>3</v>
      </c>
      <c r="J135" s="40">
        <v>16000</v>
      </c>
      <c r="K135" s="40">
        <v>2666.6666666666665</v>
      </c>
      <c r="L135" s="40">
        <v>6</v>
      </c>
      <c r="M135" s="38"/>
    </row>
    <row r="136" spans="2:13" s="7" customFormat="1" x14ac:dyDescent="0.3">
      <c r="B136" s="5">
        <v>124</v>
      </c>
      <c r="C136" s="65"/>
      <c r="D136" s="65" t="s">
        <v>116</v>
      </c>
      <c r="E136" s="38" t="s">
        <v>231</v>
      </c>
      <c r="F136" s="38" t="s">
        <v>216</v>
      </c>
      <c r="G136" s="39">
        <v>42395</v>
      </c>
      <c r="H136" s="40">
        <v>15000</v>
      </c>
      <c r="I136" s="65">
        <v>2</v>
      </c>
      <c r="J136" s="40">
        <v>15000</v>
      </c>
      <c r="K136" s="40">
        <v>3000</v>
      </c>
      <c r="L136" s="40">
        <v>5</v>
      </c>
      <c r="M136" s="38"/>
    </row>
    <row r="137" spans="2:13" s="7" customFormat="1" x14ac:dyDescent="0.3">
      <c r="B137" s="5">
        <v>125</v>
      </c>
      <c r="C137" s="65"/>
      <c r="D137" s="65" t="s">
        <v>179</v>
      </c>
      <c r="E137" s="38" t="s">
        <v>252</v>
      </c>
      <c r="F137" s="38" t="s">
        <v>216</v>
      </c>
      <c r="G137" s="39">
        <v>43091</v>
      </c>
      <c r="H137" s="40">
        <v>2000</v>
      </c>
      <c r="I137" s="65">
        <v>1</v>
      </c>
      <c r="J137" s="40">
        <v>2000</v>
      </c>
      <c r="K137" s="40">
        <v>400</v>
      </c>
      <c r="L137" s="40">
        <v>5</v>
      </c>
      <c r="M137" s="38"/>
    </row>
    <row r="138" spans="2:13" s="7" customFormat="1" x14ac:dyDescent="0.3">
      <c r="B138" s="5">
        <v>126</v>
      </c>
      <c r="C138" s="65"/>
      <c r="D138" s="65" t="s">
        <v>200</v>
      </c>
      <c r="E138" s="38" t="s">
        <v>266</v>
      </c>
      <c r="F138" s="38" t="s">
        <v>216</v>
      </c>
      <c r="G138" s="39">
        <v>42221</v>
      </c>
      <c r="H138" s="40">
        <v>3000</v>
      </c>
      <c r="I138" s="65">
        <v>1</v>
      </c>
      <c r="J138" s="40">
        <v>3000</v>
      </c>
      <c r="K138" s="40">
        <v>500</v>
      </c>
      <c r="L138" s="40">
        <v>6</v>
      </c>
      <c r="M138" s="38"/>
    </row>
    <row r="139" spans="2:13" s="7" customFormat="1" x14ac:dyDescent="0.3">
      <c r="B139" s="5">
        <v>127</v>
      </c>
      <c r="C139" s="65"/>
      <c r="D139" s="65" t="s">
        <v>212</v>
      </c>
      <c r="E139" s="38" t="s">
        <v>251</v>
      </c>
      <c r="F139" s="38" t="s">
        <v>216</v>
      </c>
      <c r="G139" s="39">
        <v>42242</v>
      </c>
      <c r="H139" s="40">
        <v>10000</v>
      </c>
      <c r="I139" s="65">
        <v>2</v>
      </c>
      <c r="J139" s="40">
        <v>10000</v>
      </c>
      <c r="K139" s="40">
        <v>1666.6666666666667</v>
      </c>
      <c r="L139" s="40">
        <v>6</v>
      </c>
      <c r="M139" s="38"/>
    </row>
    <row r="140" spans="2:13" s="7" customFormat="1" x14ac:dyDescent="0.3">
      <c r="B140" s="5">
        <v>128</v>
      </c>
      <c r="C140" s="65"/>
      <c r="D140" s="65" t="s">
        <v>131</v>
      </c>
      <c r="E140" s="38" t="s">
        <v>276</v>
      </c>
      <c r="F140" s="38" t="s">
        <v>216</v>
      </c>
      <c r="G140" s="39">
        <v>42243</v>
      </c>
      <c r="H140" s="40">
        <v>600</v>
      </c>
      <c r="I140" s="65">
        <v>3</v>
      </c>
      <c r="J140" s="40">
        <v>600</v>
      </c>
      <c r="K140" s="40">
        <v>100</v>
      </c>
      <c r="L140" s="40">
        <v>6</v>
      </c>
      <c r="M140" s="38"/>
    </row>
    <row r="141" spans="2:13" s="7" customFormat="1" x14ac:dyDescent="0.3">
      <c r="B141" s="5">
        <v>129</v>
      </c>
      <c r="C141" s="65"/>
      <c r="D141" s="65" t="s">
        <v>185</v>
      </c>
      <c r="E141" s="38" t="s">
        <v>258</v>
      </c>
      <c r="F141" s="38" t="s">
        <v>216</v>
      </c>
      <c r="G141" s="39">
        <v>42244</v>
      </c>
      <c r="H141" s="40">
        <v>5000</v>
      </c>
      <c r="I141" s="65">
        <v>2</v>
      </c>
      <c r="J141" s="40">
        <v>5000</v>
      </c>
      <c r="K141" s="40">
        <v>625</v>
      </c>
      <c r="L141" s="40">
        <v>8</v>
      </c>
      <c r="M141" s="38"/>
    </row>
    <row r="142" spans="2:13" s="7" customFormat="1" x14ac:dyDescent="0.3">
      <c r="B142" s="5">
        <v>130</v>
      </c>
      <c r="C142" s="65"/>
      <c r="D142" s="65" t="s">
        <v>213</v>
      </c>
      <c r="E142" s="38" t="s">
        <v>277</v>
      </c>
      <c r="F142" s="38" t="s">
        <v>216</v>
      </c>
      <c r="G142" s="39">
        <v>40223</v>
      </c>
      <c r="H142" s="40">
        <v>2500</v>
      </c>
      <c r="I142" s="65">
        <v>2</v>
      </c>
      <c r="J142" s="40">
        <v>2500</v>
      </c>
      <c r="K142" s="40">
        <v>312.5</v>
      </c>
      <c r="L142" s="40">
        <v>8</v>
      </c>
      <c r="M142" s="38"/>
    </row>
    <row r="143" spans="2:13" s="7" customFormat="1" x14ac:dyDescent="0.3">
      <c r="B143" s="5">
        <v>131</v>
      </c>
      <c r="C143" s="65"/>
      <c r="D143" s="65" t="s">
        <v>214</v>
      </c>
      <c r="E143" s="38" t="s">
        <v>227</v>
      </c>
      <c r="F143" s="38" t="s">
        <v>216</v>
      </c>
      <c r="G143" s="39">
        <v>40658</v>
      </c>
      <c r="H143" s="40">
        <v>10000</v>
      </c>
      <c r="I143" s="65">
        <v>1</v>
      </c>
      <c r="J143" s="40">
        <v>10000</v>
      </c>
      <c r="K143" s="40">
        <v>1428.5714285714287</v>
      </c>
      <c r="L143" s="40">
        <v>7</v>
      </c>
      <c r="M143" s="38"/>
    </row>
    <row r="144" spans="2:13" s="7" customFormat="1" x14ac:dyDescent="0.3">
      <c r="B144" s="5">
        <v>132</v>
      </c>
      <c r="C144" s="65"/>
      <c r="D144" s="65" t="s">
        <v>215</v>
      </c>
      <c r="E144" s="38" t="s">
        <v>278</v>
      </c>
      <c r="F144" s="38" t="s">
        <v>216</v>
      </c>
      <c r="G144" s="39">
        <v>41368</v>
      </c>
      <c r="H144" s="40">
        <v>10000</v>
      </c>
      <c r="I144" s="65">
        <v>1</v>
      </c>
      <c r="J144" s="40">
        <v>10000</v>
      </c>
      <c r="K144" s="40">
        <v>1428.5714285714287</v>
      </c>
      <c r="L144" s="40">
        <v>7</v>
      </c>
      <c r="M144" s="38"/>
    </row>
    <row r="145" spans="2:13" s="7" customFormat="1" x14ac:dyDescent="0.3">
      <c r="B145" s="5">
        <v>133</v>
      </c>
      <c r="C145" s="65"/>
      <c r="D145" s="65" t="s">
        <v>121</v>
      </c>
      <c r="E145" s="38" t="s">
        <v>223</v>
      </c>
      <c r="F145" s="38" t="s">
        <v>216</v>
      </c>
      <c r="G145" s="39">
        <v>42428</v>
      </c>
      <c r="H145" s="40">
        <v>2500</v>
      </c>
      <c r="I145" s="65">
        <v>1</v>
      </c>
      <c r="J145" s="40">
        <v>2500</v>
      </c>
      <c r="K145" s="40">
        <v>357.14285714285717</v>
      </c>
      <c r="L145" s="40">
        <v>7</v>
      </c>
      <c r="M145" s="38"/>
    </row>
    <row r="146" spans="2:13" s="7" customFormat="1" x14ac:dyDescent="0.3">
      <c r="B146" s="5">
        <v>134</v>
      </c>
      <c r="C146" s="65"/>
      <c r="D146" s="65" t="s">
        <v>159</v>
      </c>
      <c r="E146" s="38" t="s">
        <v>223</v>
      </c>
      <c r="F146" s="38" t="s">
        <v>216</v>
      </c>
      <c r="G146" s="39">
        <v>40980</v>
      </c>
      <c r="H146" s="40">
        <v>2500</v>
      </c>
      <c r="I146" s="65">
        <v>1</v>
      </c>
      <c r="J146" s="40">
        <v>2500</v>
      </c>
      <c r="K146" s="40">
        <v>416.66666666666669</v>
      </c>
      <c r="L146" s="40">
        <v>6</v>
      </c>
      <c r="M146" s="38"/>
    </row>
    <row r="147" spans="2:13" s="7" customFormat="1" x14ac:dyDescent="0.3">
      <c r="B147" s="5">
        <v>135</v>
      </c>
      <c r="C147" s="65"/>
      <c r="D147" s="65" t="s">
        <v>135</v>
      </c>
      <c r="E147" s="38" t="s">
        <v>224</v>
      </c>
      <c r="F147" s="38" t="s">
        <v>216</v>
      </c>
      <c r="G147" s="39">
        <v>41754</v>
      </c>
      <c r="H147" s="40">
        <v>1500</v>
      </c>
      <c r="I147" s="65">
        <v>2</v>
      </c>
      <c r="J147" s="40">
        <v>1500</v>
      </c>
      <c r="K147" s="40">
        <v>300</v>
      </c>
      <c r="L147" s="40">
        <v>5</v>
      </c>
      <c r="M147" s="38"/>
    </row>
    <row r="148" spans="2:13" s="7" customFormat="1" x14ac:dyDescent="0.3">
      <c r="B148" s="5">
        <v>136</v>
      </c>
      <c r="C148" s="65"/>
      <c r="D148" s="65" t="s">
        <v>153</v>
      </c>
      <c r="E148" s="38" t="s">
        <v>234</v>
      </c>
      <c r="F148" s="38" t="s">
        <v>216</v>
      </c>
      <c r="G148" s="39">
        <v>42914</v>
      </c>
      <c r="H148" s="40">
        <v>2500</v>
      </c>
      <c r="I148" s="65">
        <v>2</v>
      </c>
      <c r="J148" s="40">
        <v>2500</v>
      </c>
      <c r="K148" s="40">
        <v>312.5</v>
      </c>
      <c r="L148" s="40">
        <v>8</v>
      </c>
      <c r="M148" s="38"/>
    </row>
    <row r="149" spans="2:13" s="7" customFormat="1" x14ac:dyDescent="0.3">
      <c r="B149" s="5">
        <v>137</v>
      </c>
      <c r="C149" s="65"/>
      <c r="D149" s="65" t="s">
        <v>159</v>
      </c>
      <c r="E149" s="38" t="s">
        <v>223</v>
      </c>
      <c r="F149" s="38" t="s">
        <v>216</v>
      </c>
      <c r="G149" s="39">
        <v>42627</v>
      </c>
      <c r="H149" s="40">
        <v>2500</v>
      </c>
      <c r="I149" s="65">
        <v>1</v>
      </c>
      <c r="J149" s="40">
        <v>2500</v>
      </c>
      <c r="K149" s="40">
        <v>500</v>
      </c>
      <c r="L149" s="40">
        <v>5</v>
      </c>
      <c r="M149" s="38"/>
    </row>
    <row r="150" spans="2:13" s="7" customFormat="1" x14ac:dyDescent="0.3">
      <c r="B150" s="5">
        <v>138</v>
      </c>
      <c r="C150" s="65"/>
      <c r="D150" s="65" t="s">
        <v>210</v>
      </c>
      <c r="E150" s="38" t="s">
        <v>274</v>
      </c>
      <c r="F150" s="38" t="s">
        <v>216</v>
      </c>
      <c r="G150" s="39">
        <v>42879</v>
      </c>
      <c r="H150" s="40">
        <v>1500</v>
      </c>
      <c r="I150" s="65">
        <v>1</v>
      </c>
      <c r="J150" s="40">
        <v>1500</v>
      </c>
      <c r="K150" s="40">
        <v>250</v>
      </c>
      <c r="L150" s="40">
        <v>6</v>
      </c>
      <c r="M150" s="38"/>
    </row>
    <row r="151" spans="2:13" s="7" customFormat="1" x14ac:dyDescent="0.3">
      <c r="B151" s="5">
        <v>139</v>
      </c>
      <c r="C151" s="5"/>
      <c r="D151" s="38"/>
      <c r="E151" s="38"/>
      <c r="F151" s="38"/>
      <c r="G151" s="39"/>
      <c r="H151" s="40"/>
      <c r="I151" s="5"/>
      <c r="J151" s="40"/>
      <c r="K151" s="40"/>
      <c r="L151" s="40"/>
      <c r="M151" s="38"/>
    </row>
    <row r="152" spans="2:13" s="7" customFormat="1" x14ac:dyDescent="0.3">
      <c r="B152" s="5">
        <v>140</v>
      </c>
      <c r="C152" s="67"/>
      <c r="D152" s="38"/>
      <c r="E152" s="38"/>
      <c r="F152" s="38"/>
      <c r="G152" s="39"/>
      <c r="H152" s="40"/>
      <c r="I152" s="40"/>
      <c r="J152" s="40"/>
      <c r="K152" s="40"/>
      <c r="L152" s="40"/>
      <c r="M152" s="38"/>
    </row>
    <row r="153" spans="2:13" s="7" customFormat="1" x14ac:dyDescent="0.3">
      <c r="B153" s="5">
        <v>141</v>
      </c>
      <c r="C153" s="67"/>
      <c r="D153" s="38"/>
      <c r="E153" s="38"/>
      <c r="F153" s="38"/>
      <c r="G153" s="39"/>
      <c r="H153" s="40"/>
      <c r="I153" s="40"/>
      <c r="J153" s="40"/>
      <c r="K153" s="40"/>
      <c r="L153" s="40"/>
      <c r="M153" s="38"/>
    </row>
    <row r="154" spans="2:13" s="7" customFormat="1" x14ac:dyDescent="0.3">
      <c r="B154" s="5">
        <v>142</v>
      </c>
      <c r="C154" s="67"/>
      <c r="D154" s="38"/>
      <c r="E154" s="38"/>
      <c r="F154" s="38"/>
      <c r="G154" s="39"/>
      <c r="H154" s="40"/>
      <c r="I154" s="40"/>
      <c r="J154" s="40"/>
      <c r="K154" s="40"/>
      <c r="L154" s="40"/>
      <c r="M154" s="38"/>
    </row>
    <row r="155" spans="2:13" s="7" customFormat="1" x14ac:dyDescent="0.3">
      <c r="B155" s="5">
        <v>143</v>
      </c>
      <c r="C155" s="67"/>
      <c r="D155" s="38"/>
      <c r="E155" s="38"/>
      <c r="F155" s="38"/>
      <c r="G155" s="39"/>
      <c r="H155" s="40"/>
      <c r="I155" s="40"/>
      <c r="J155" s="40"/>
      <c r="K155" s="40"/>
      <c r="L155" s="40"/>
      <c r="M155" s="38"/>
    </row>
    <row r="156" spans="2:13" s="7" customFormat="1" x14ac:dyDescent="0.3">
      <c r="B156" s="5">
        <v>144</v>
      </c>
      <c r="C156" s="67"/>
      <c r="D156" s="38"/>
      <c r="E156" s="38"/>
      <c r="F156" s="38"/>
      <c r="G156" s="39"/>
      <c r="H156" s="40"/>
      <c r="I156" s="40"/>
      <c r="J156" s="40"/>
      <c r="K156" s="40"/>
      <c r="L156" s="40"/>
      <c r="M156" s="38"/>
    </row>
    <row r="157" spans="2:13" s="7" customFormat="1" x14ac:dyDescent="0.3">
      <c r="B157" s="5">
        <v>145</v>
      </c>
      <c r="C157" s="67"/>
      <c r="D157" s="38"/>
      <c r="E157" s="38"/>
      <c r="F157" s="38"/>
      <c r="G157" s="39"/>
      <c r="H157" s="40"/>
      <c r="I157" s="40"/>
      <c r="J157" s="40"/>
      <c r="K157" s="40"/>
      <c r="L157" s="40"/>
      <c r="M157" s="38"/>
    </row>
    <row r="158" spans="2:13" s="7" customFormat="1" x14ac:dyDescent="0.3">
      <c r="B158" s="5">
        <v>146</v>
      </c>
      <c r="C158" s="67"/>
      <c r="D158" s="38"/>
      <c r="E158" s="38"/>
      <c r="F158" s="38"/>
      <c r="G158" s="39"/>
      <c r="H158" s="40"/>
      <c r="I158" s="40"/>
      <c r="J158" s="40"/>
      <c r="K158" s="40"/>
      <c r="L158" s="40"/>
      <c r="M158" s="38"/>
    </row>
    <row r="159" spans="2:13" s="7" customFormat="1" x14ac:dyDescent="0.3">
      <c r="B159" s="5">
        <v>147</v>
      </c>
      <c r="C159" s="67"/>
      <c r="D159" s="38"/>
      <c r="E159" s="38"/>
      <c r="F159" s="38"/>
      <c r="G159" s="39"/>
      <c r="H159" s="40"/>
      <c r="I159" s="40"/>
      <c r="J159" s="40"/>
      <c r="K159" s="40"/>
      <c r="L159" s="40"/>
      <c r="M159" s="38"/>
    </row>
    <row r="160" spans="2:13" s="7" customFormat="1" x14ac:dyDescent="0.3">
      <c r="B160" s="5">
        <v>148</v>
      </c>
      <c r="C160" s="67"/>
      <c r="D160" s="38"/>
      <c r="E160" s="38"/>
      <c r="F160" s="38"/>
      <c r="G160" s="39"/>
      <c r="H160" s="40"/>
      <c r="I160" s="40"/>
      <c r="J160" s="40"/>
      <c r="K160" s="40"/>
      <c r="L160" s="40"/>
      <c r="M160" s="38"/>
    </row>
    <row r="161" spans="2:13" s="7" customFormat="1" x14ac:dyDescent="0.3">
      <c r="B161" s="5">
        <v>149</v>
      </c>
      <c r="C161" s="67"/>
      <c r="D161" s="38"/>
      <c r="E161" s="38"/>
      <c r="F161" s="38"/>
      <c r="G161" s="39"/>
      <c r="H161" s="40"/>
      <c r="I161" s="40"/>
      <c r="J161" s="40"/>
      <c r="K161" s="40"/>
      <c r="L161" s="40"/>
      <c r="M161" s="38"/>
    </row>
    <row r="162" spans="2:13" s="7" customFormat="1" x14ac:dyDescent="0.3">
      <c r="B162" s="5">
        <v>150</v>
      </c>
      <c r="C162" s="67"/>
      <c r="D162" s="38"/>
      <c r="E162" s="38"/>
      <c r="F162" s="38"/>
      <c r="G162" s="39"/>
      <c r="H162" s="40"/>
      <c r="I162" s="40"/>
      <c r="J162" s="40"/>
      <c r="K162" s="40"/>
      <c r="L162" s="40"/>
      <c r="M162" s="38"/>
    </row>
    <row r="163" spans="2:13" s="7" customFormat="1" x14ac:dyDescent="0.3">
      <c r="B163" s="5">
        <v>151</v>
      </c>
      <c r="C163" s="67"/>
      <c r="D163" s="38"/>
      <c r="E163" s="38"/>
      <c r="F163" s="38"/>
      <c r="G163" s="39"/>
      <c r="H163" s="40"/>
      <c r="I163" s="40"/>
      <c r="J163" s="40"/>
      <c r="K163" s="40"/>
      <c r="L163" s="40"/>
      <c r="M163" s="38"/>
    </row>
    <row r="164" spans="2:13" s="7" customFormat="1" x14ac:dyDescent="0.3">
      <c r="B164" s="5">
        <v>152</v>
      </c>
      <c r="C164" s="67"/>
      <c r="D164" s="38"/>
      <c r="E164" s="38"/>
      <c r="F164" s="38"/>
      <c r="G164" s="39"/>
      <c r="H164" s="40"/>
      <c r="I164" s="40"/>
      <c r="J164" s="40"/>
      <c r="K164" s="40"/>
      <c r="L164" s="40"/>
      <c r="M164" s="38"/>
    </row>
    <row r="165" spans="2:13" s="7" customFormat="1" x14ac:dyDescent="0.3">
      <c r="B165" s="5">
        <v>153</v>
      </c>
      <c r="C165" s="67"/>
      <c r="D165" s="38"/>
      <c r="E165" s="38"/>
      <c r="F165" s="38"/>
      <c r="G165" s="39"/>
      <c r="H165" s="40"/>
      <c r="I165" s="40"/>
      <c r="J165" s="40"/>
      <c r="K165" s="40"/>
      <c r="L165" s="40"/>
      <c r="M165" s="38"/>
    </row>
    <row r="166" spans="2:13" s="7" customFormat="1" x14ac:dyDescent="0.3">
      <c r="B166" s="5">
        <v>154</v>
      </c>
      <c r="C166" s="67"/>
      <c r="D166" s="38"/>
      <c r="E166" s="38"/>
      <c r="F166" s="38"/>
      <c r="G166" s="39"/>
      <c r="H166" s="40"/>
      <c r="I166" s="40"/>
      <c r="J166" s="40"/>
      <c r="K166" s="40"/>
      <c r="L166" s="40"/>
      <c r="M166" s="38"/>
    </row>
    <row r="167" spans="2:13" s="7" customFormat="1" x14ac:dyDescent="0.3">
      <c r="B167" s="5">
        <v>155</v>
      </c>
      <c r="C167" s="67"/>
      <c r="D167" s="38"/>
      <c r="E167" s="38"/>
      <c r="F167" s="38"/>
      <c r="G167" s="39"/>
      <c r="H167" s="40"/>
      <c r="I167" s="40"/>
      <c r="J167" s="40"/>
      <c r="K167" s="40"/>
      <c r="L167" s="40"/>
      <c r="M167" s="38"/>
    </row>
    <row r="168" spans="2:13" s="7" customFormat="1" x14ac:dyDescent="0.3">
      <c r="B168" s="5">
        <v>156</v>
      </c>
      <c r="C168" s="67"/>
      <c r="D168" s="38"/>
      <c r="E168" s="38"/>
      <c r="F168" s="38"/>
      <c r="G168" s="39"/>
      <c r="H168" s="40"/>
      <c r="I168" s="40"/>
      <c r="J168" s="40"/>
      <c r="K168" s="40"/>
      <c r="L168" s="40"/>
      <c r="M168" s="38"/>
    </row>
    <row r="169" spans="2:13" s="7" customFormat="1" x14ac:dyDescent="0.3">
      <c r="B169" s="5">
        <v>157</v>
      </c>
      <c r="C169" s="67"/>
      <c r="D169" s="38"/>
      <c r="E169" s="38"/>
      <c r="F169" s="38"/>
      <c r="G169" s="39"/>
      <c r="H169" s="40"/>
      <c r="I169" s="40"/>
      <c r="J169" s="40"/>
      <c r="K169" s="40"/>
      <c r="L169" s="40"/>
      <c r="M169" s="38"/>
    </row>
    <row r="170" spans="2:13" s="7" customFormat="1" x14ac:dyDescent="0.3">
      <c r="B170" s="5">
        <v>158</v>
      </c>
      <c r="C170" s="67"/>
      <c r="D170" s="38"/>
      <c r="E170" s="38"/>
      <c r="F170" s="38"/>
      <c r="G170" s="39"/>
      <c r="H170" s="40"/>
      <c r="I170" s="40"/>
      <c r="J170" s="40"/>
      <c r="K170" s="40"/>
      <c r="L170" s="40"/>
      <c r="M170" s="38"/>
    </row>
    <row r="171" spans="2:13" x14ac:dyDescent="0.3">
      <c r="C171" s="66"/>
    </row>
    <row r="172" spans="2:13" x14ac:dyDescent="0.3">
      <c r="C172" s="64"/>
    </row>
    <row r="173" spans="2:13" x14ac:dyDescent="0.3">
      <c r="C173" s="64"/>
    </row>
    <row r="174" spans="2:13" x14ac:dyDescent="0.3">
      <c r="C174" s="64"/>
    </row>
    <row r="175" spans="2:13" x14ac:dyDescent="0.3">
      <c r="C175" s="64"/>
    </row>
    <row r="176" spans="2:13" x14ac:dyDescent="0.3">
      <c r="C176" s="64"/>
    </row>
    <row r="177" spans="3:3" x14ac:dyDescent="0.3">
      <c r="C177" s="64"/>
    </row>
    <row r="178" spans="3:3" x14ac:dyDescent="0.3">
      <c r="C178" s="64"/>
    </row>
    <row r="179" spans="3:3" x14ac:dyDescent="0.3">
      <c r="C179" s="64"/>
    </row>
    <row r="180" spans="3:3" x14ac:dyDescent="0.3">
      <c r="C180" s="64"/>
    </row>
    <row r="181" spans="3:3" x14ac:dyDescent="0.3">
      <c r="C181" s="64"/>
    </row>
    <row r="182" spans="3:3" x14ac:dyDescent="0.3">
      <c r="C182" s="64"/>
    </row>
    <row r="183" spans="3:3" x14ac:dyDescent="0.3">
      <c r="C183" s="64"/>
    </row>
    <row r="184" spans="3:3" x14ac:dyDescent="0.3">
      <c r="C184" s="64"/>
    </row>
    <row r="185" spans="3:3" x14ac:dyDescent="0.3">
      <c r="C185" s="64"/>
    </row>
    <row r="186" spans="3:3" x14ac:dyDescent="0.3">
      <c r="C186" s="64"/>
    </row>
    <row r="187" spans="3:3" x14ac:dyDescent="0.3">
      <c r="C187" s="64"/>
    </row>
    <row r="188" spans="3:3" x14ac:dyDescent="0.3">
      <c r="C188" s="64"/>
    </row>
    <row r="189" spans="3:3" x14ac:dyDescent="0.3">
      <c r="C189" s="64"/>
    </row>
    <row r="190" spans="3:3" x14ac:dyDescent="0.3">
      <c r="C190" s="64"/>
    </row>
    <row r="191" spans="3:3" x14ac:dyDescent="0.3">
      <c r="C191" s="64"/>
    </row>
    <row r="192" spans="3:3" x14ac:dyDescent="0.3">
      <c r="C192" s="64"/>
    </row>
    <row r="193" spans="3:3" x14ac:dyDescent="0.3">
      <c r="C193" s="64"/>
    </row>
    <row r="194" spans="3:3" x14ac:dyDescent="0.3">
      <c r="C194" s="64"/>
    </row>
    <row r="195" spans="3:3" x14ac:dyDescent="0.3">
      <c r="C195" s="64"/>
    </row>
    <row r="196" spans="3:3" x14ac:dyDescent="0.3">
      <c r="C196" s="64"/>
    </row>
    <row r="197" spans="3:3" x14ac:dyDescent="0.3">
      <c r="C197" s="64"/>
    </row>
    <row r="198" spans="3:3" x14ac:dyDescent="0.3">
      <c r="C198" s="64"/>
    </row>
    <row r="199" spans="3:3" x14ac:dyDescent="0.3">
      <c r="C199" s="64"/>
    </row>
    <row r="200" spans="3:3" x14ac:dyDescent="0.3">
      <c r="C200" s="64"/>
    </row>
    <row r="201" spans="3:3" x14ac:dyDescent="0.3">
      <c r="C201" s="64"/>
    </row>
    <row r="202" spans="3:3" x14ac:dyDescent="0.3">
      <c r="C202" s="64"/>
    </row>
    <row r="203" spans="3:3" x14ac:dyDescent="0.3">
      <c r="C203" s="64"/>
    </row>
    <row r="204" spans="3:3" x14ac:dyDescent="0.3">
      <c r="C204" s="64"/>
    </row>
    <row r="205" spans="3:3" x14ac:dyDescent="0.3">
      <c r="C205" s="64"/>
    </row>
    <row r="206" spans="3:3" x14ac:dyDescent="0.3">
      <c r="C206" s="64"/>
    </row>
    <row r="207" spans="3:3" x14ac:dyDescent="0.3">
      <c r="C207" s="64"/>
    </row>
    <row r="208" spans="3:3" x14ac:dyDescent="0.3">
      <c r="C208" s="64"/>
    </row>
    <row r="209" spans="3:3" x14ac:dyDescent="0.3">
      <c r="C209" s="64"/>
    </row>
    <row r="210" spans="3:3" x14ac:dyDescent="0.3">
      <c r="C210" s="64"/>
    </row>
    <row r="211" spans="3:3" x14ac:dyDescent="0.3">
      <c r="C211" s="64"/>
    </row>
    <row r="212" spans="3:3" x14ac:dyDescent="0.3">
      <c r="C212" s="64"/>
    </row>
    <row r="213" spans="3:3" x14ac:dyDescent="0.3">
      <c r="C213" s="64"/>
    </row>
    <row r="214" spans="3:3" x14ac:dyDescent="0.3">
      <c r="C214" s="64"/>
    </row>
    <row r="215" spans="3:3" x14ac:dyDescent="0.3">
      <c r="C215" s="64"/>
    </row>
    <row r="216" spans="3:3" x14ac:dyDescent="0.3">
      <c r="C216" s="64"/>
    </row>
    <row r="217" spans="3:3" x14ac:dyDescent="0.3">
      <c r="C217" s="64"/>
    </row>
    <row r="218" spans="3:3" x14ac:dyDescent="0.3">
      <c r="C218" s="64"/>
    </row>
    <row r="219" spans="3:3" x14ac:dyDescent="0.3">
      <c r="C219" s="64"/>
    </row>
    <row r="220" spans="3:3" x14ac:dyDescent="0.3">
      <c r="C220" s="64"/>
    </row>
    <row r="221" spans="3:3" x14ac:dyDescent="0.3">
      <c r="C221" s="64"/>
    </row>
    <row r="222" spans="3:3" x14ac:dyDescent="0.3">
      <c r="C222" s="64"/>
    </row>
    <row r="223" spans="3:3" x14ac:dyDescent="0.3">
      <c r="C223" s="64"/>
    </row>
    <row r="224" spans="3:3" x14ac:dyDescent="0.3">
      <c r="C224" s="64"/>
    </row>
    <row r="225" spans="3:3" x14ac:dyDescent="0.3">
      <c r="C225" s="64"/>
    </row>
    <row r="226" spans="3:3" x14ac:dyDescent="0.3">
      <c r="C226" s="64"/>
    </row>
    <row r="227" spans="3:3" x14ac:dyDescent="0.3">
      <c r="C227" s="64"/>
    </row>
    <row r="228" spans="3:3" x14ac:dyDescent="0.3">
      <c r="C228" s="64"/>
    </row>
    <row r="229" spans="3:3" x14ac:dyDescent="0.3">
      <c r="C229" s="64"/>
    </row>
    <row r="230" spans="3:3" x14ac:dyDescent="0.3">
      <c r="C230" s="64"/>
    </row>
    <row r="231" spans="3:3" x14ac:dyDescent="0.3">
      <c r="C231" s="64"/>
    </row>
    <row r="232" spans="3:3" x14ac:dyDescent="0.3">
      <c r="C232" s="64"/>
    </row>
    <row r="233" spans="3:3" x14ac:dyDescent="0.3">
      <c r="C233" s="64"/>
    </row>
    <row r="234" spans="3:3" x14ac:dyDescent="0.3">
      <c r="C234" s="64"/>
    </row>
    <row r="235" spans="3:3" x14ac:dyDescent="0.3">
      <c r="C235" s="64"/>
    </row>
    <row r="236" spans="3:3" x14ac:dyDescent="0.3">
      <c r="C236" s="64"/>
    </row>
    <row r="237" spans="3:3" x14ac:dyDescent="0.3">
      <c r="C237" s="64"/>
    </row>
    <row r="238" spans="3:3" x14ac:dyDescent="0.3">
      <c r="C238" s="64"/>
    </row>
    <row r="239" spans="3:3" x14ac:dyDescent="0.3">
      <c r="C239" s="64"/>
    </row>
    <row r="240" spans="3:3" x14ac:dyDescent="0.3">
      <c r="C240" s="64"/>
    </row>
    <row r="241" spans="3:3" x14ac:dyDescent="0.3">
      <c r="C241" s="64"/>
    </row>
    <row r="242" spans="3:3" x14ac:dyDescent="0.3">
      <c r="C242" s="64"/>
    </row>
    <row r="243" spans="3:3" x14ac:dyDescent="0.3">
      <c r="C243" s="64"/>
    </row>
    <row r="244" spans="3:3" x14ac:dyDescent="0.3">
      <c r="C244" s="64"/>
    </row>
    <row r="245" spans="3:3" x14ac:dyDescent="0.3">
      <c r="C245" s="64"/>
    </row>
    <row r="246" spans="3:3" x14ac:dyDescent="0.3">
      <c r="C246" s="64"/>
    </row>
    <row r="247" spans="3:3" x14ac:dyDescent="0.3">
      <c r="C247" s="64"/>
    </row>
    <row r="248" spans="3:3" x14ac:dyDescent="0.3">
      <c r="C248" s="64"/>
    </row>
    <row r="249" spans="3:3" x14ac:dyDescent="0.3">
      <c r="C249" s="64"/>
    </row>
    <row r="250" spans="3:3" x14ac:dyDescent="0.3">
      <c r="C250" s="64"/>
    </row>
    <row r="251" spans="3:3" x14ac:dyDescent="0.3">
      <c r="C251" s="64"/>
    </row>
    <row r="252" spans="3:3" x14ac:dyDescent="0.3">
      <c r="C252" s="64"/>
    </row>
    <row r="253" spans="3:3" x14ac:dyDescent="0.3">
      <c r="C253" s="64"/>
    </row>
    <row r="254" spans="3:3" x14ac:dyDescent="0.3">
      <c r="C254" s="64"/>
    </row>
    <row r="255" spans="3:3" x14ac:dyDescent="0.3">
      <c r="C255" s="64"/>
    </row>
    <row r="256" spans="3:3" x14ac:dyDescent="0.3">
      <c r="C256" s="64"/>
    </row>
    <row r="257" spans="3:3" x14ac:dyDescent="0.3">
      <c r="C257" s="64"/>
    </row>
    <row r="258" spans="3:3" x14ac:dyDescent="0.3">
      <c r="C258" s="64"/>
    </row>
    <row r="259" spans="3:3" x14ac:dyDescent="0.3">
      <c r="C259" s="64"/>
    </row>
    <row r="260" spans="3:3" x14ac:dyDescent="0.3">
      <c r="C260" s="64"/>
    </row>
    <row r="261" spans="3:3" x14ac:dyDescent="0.3">
      <c r="C261" s="64"/>
    </row>
    <row r="262" spans="3:3" x14ac:dyDescent="0.3">
      <c r="C262" s="64"/>
    </row>
    <row r="263" spans="3:3" x14ac:dyDescent="0.3">
      <c r="C263" s="64"/>
    </row>
    <row r="264" spans="3:3" x14ac:dyDescent="0.3">
      <c r="C264" s="64"/>
    </row>
    <row r="265" spans="3:3" x14ac:dyDescent="0.3">
      <c r="C265" s="64"/>
    </row>
    <row r="266" spans="3:3" x14ac:dyDescent="0.3">
      <c r="C266" s="64"/>
    </row>
    <row r="267" spans="3:3" x14ac:dyDescent="0.3">
      <c r="C267" s="64"/>
    </row>
    <row r="268" spans="3:3" x14ac:dyDescent="0.3">
      <c r="C268" s="64"/>
    </row>
    <row r="269" spans="3:3" x14ac:dyDescent="0.3">
      <c r="C269" s="64"/>
    </row>
    <row r="270" spans="3:3" x14ac:dyDescent="0.3">
      <c r="C270" s="64"/>
    </row>
    <row r="271" spans="3:3" x14ac:dyDescent="0.3">
      <c r="C271" s="64"/>
    </row>
    <row r="272" spans="3:3" x14ac:dyDescent="0.3">
      <c r="C272" s="64"/>
    </row>
    <row r="273" spans="3:3" x14ac:dyDescent="0.3">
      <c r="C273" s="64"/>
    </row>
    <row r="274" spans="3:3" x14ac:dyDescent="0.3">
      <c r="C274" s="64"/>
    </row>
    <row r="275" spans="3:3" x14ac:dyDescent="0.3">
      <c r="C275" s="64"/>
    </row>
    <row r="276" spans="3:3" x14ac:dyDescent="0.3">
      <c r="C276" s="64"/>
    </row>
    <row r="277" spans="3:3" x14ac:dyDescent="0.3">
      <c r="C277" s="64"/>
    </row>
    <row r="278" spans="3:3" x14ac:dyDescent="0.3">
      <c r="C278" s="64"/>
    </row>
    <row r="279" spans="3:3" x14ac:dyDescent="0.3">
      <c r="C279" s="64"/>
    </row>
    <row r="280" spans="3:3" x14ac:dyDescent="0.3">
      <c r="C280" s="64"/>
    </row>
    <row r="281" spans="3:3" x14ac:dyDescent="0.3">
      <c r="C281" s="64"/>
    </row>
    <row r="282" spans="3:3" x14ac:dyDescent="0.3">
      <c r="C282" s="64"/>
    </row>
    <row r="283" spans="3:3" x14ac:dyDescent="0.3">
      <c r="C283" s="64"/>
    </row>
    <row r="284" spans="3:3" x14ac:dyDescent="0.3">
      <c r="C284" s="64"/>
    </row>
    <row r="285" spans="3:3" x14ac:dyDescent="0.3">
      <c r="C285" s="64"/>
    </row>
    <row r="286" spans="3:3" x14ac:dyDescent="0.3">
      <c r="C286" s="64"/>
    </row>
    <row r="287" spans="3:3" x14ac:dyDescent="0.3">
      <c r="C287" s="64"/>
    </row>
    <row r="288" spans="3:3" x14ac:dyDescent="0.3">
      <c r="C288" s="64"/>
    </row>
    <row r="289" spans="3:3" x14ac:dyDescent="0.3">
      <c r="C289" s="64"/>
    </row>
    <row r="290" spans="3:3" x14ac:dyDescent="0.3">
      <c r="C290" s="64"/>
    </row>
    <row r="291" spans="3:3" x14ac:dyDescent="0.3">
      <c r="C291" s="64"/>
    </row>
    <row r="292" spans="3:3" x14ac:dyDescent="0.3">
      <c r="C292" s="64"/>
    </row>
    <row r="293" spans="3:3" x14ac:dyDescent="0.3">
      <c r="C293" s="64"/>
    </row>
    <row r="294" spans="3:3" x14ac:dyDescent="0.3">
      <c r="C294" s="64"/>
    </row>
    <row r="295" spans="3:3" x14ac:dyDescent="0.3">
      <c r="C295" s="64"/>
    </row>
    <row r="296" spans="3:3" x14ac:dyDescent="0.3">
      <c r="C296" s="64"/>
    </row>
    <row r="297" spans="3:3" x14ac:dyDescent="0.3">
      <c r="C297" s="64"/>
    </row>
    <row r="298" spans="3:3" x14ac:dyDescent="0.3">
      <c r="C298" s="64"/>
    </row>
    <row r="299" spans="3:3" x14ac:dyDescent="0.3">
      <c r="C299" s="64"/>
    </row>
    <row r="300" spans="3:3" x14ac:dyDescent="0.3">
      <c r="C300" s="64"/>
    </row>
    <row r="301" spans="3:3" x14ac:dyDescent="0.3">
      <c r="C301" s="64"/>
    </row>
    <row r="302" spans="3:3" x14ac:dyDescent="0.3">
      <c r="C302" s="64"/>
    </row>
    <row r="303" spans="3:3" x14ac:dyDescent="0.3">
      <c r="C303" s="64"/>
    </row>
    <row r="304" spans="3:3" x14ac:dyDescent="0.3">
      <c r="C304" s="64"/>
    </row>
    <row r="305" spans="3:3" x14ac:dyDescent="0.3">
      <c r="C305" s="64"/>
    </row>
    <row r="306" spans="3:3" x14ac:dyDescent="0.3">
      <c r="C306" s="64"/>
    </row>
    <row r="307" spans="3:3" x14ac:dyDescent="0.3">
      <c r="C307" s="64"/>
    </row>
    <row r="308" spans="3:3" x14ac:dyDescent="0.3">
      <c r="C308" s="64"/>
    </row>
    <row r="309" spans="3:3" x14ac:dyDescent="0.3">
      <c r="C309" s="64"/>
    </row>
    <row r="310" spans="3:3" x14ac:dyDescent="0.3">
      <c r="C310" s="64"/>
    </row>
    <row r="311" spans="3:3" x14ac:dyDescent="0.3">
      <c r="C311" s="64"/>
    </row>
    <row r="312" spans="3:3" x14ac:dyDescent="0.3">
      <c r="C312" s="64"/>
    </row>
    <row r="313" spans="3:3" x14ac:dyDescent="0.3">
      <c r="C313" s="64"/>
    </row>
    <row r="314" spans="3:3" x14ac:dyDescent="0.3">
      <c r="C314" s="64"/>
    </row>
    <row r="315" spans="3:3" x14ac:dyDescent="0.3">
      <c r="C315" s="64"/>
    </row>
    <row r="316" spans="3:3" x14ac:dyDescent="0.3">
      <c r="C316" s="64"/>
    </row>
    <row r="317" spans="3:3" x14ac:dyDescent="0.3">
      <c r="C317" s="64"/>
    </row>
    <row r="318" spans="3:3" x14ac:dyDescent="0.3">
      <c r="C318" s="64"/>
    </row>
    <row r="319" spans="3:3" x14ac:dyDescent="0.3">
      <c r="C319" s="64"/>
    </row>
    <row r="320" spans="3:3" x14ac:dyDescent="0.3">
      <c r="C320" s="64"/>
    </row>
    <row r="321" spans="3:3" x14ac:dyDescent="0.3">
      <c r="C321" s="64"/>
    </row>
    <row r="322" spans="3:3" x14ac:dyDescent="0.3">
      <c r="C322" s="64"/>
    </row>
    <row r="323" spans="3:3" x14ac:dyDescent="0.3">
      <c r="C323" s="64"/>
    </row>
    <row r="324" spans="3:3" x14ac:dyDescent="0.3">
      <c r="C324" s="64"/>
    </row>
    <row r="325" spans="3:3" x14ac:dyDescent="0.3">
      <c r="C325" s="64"/>
    </row>
    <row r="326" spans="3:3" x14ac:dyDescent="0.3">
      <c r="C326" s="64"/>
    </row>
    <row r="327" spans="3:3" x14ac:dyDescent="0.3">
      <c r="C327" s="64"/>
    </row>
    <row r="328" spans="3:3" x14ac:dyDescent="0.3">
      <c r="C328" s="64"/>
    </row>
    <row r="329" spans="3:3" x14ac:dyDescent="0.3">
      <c r="C329" s="64"/>
    </row>
    <row r="330" spans="3:3" x14ac:dyDescent="0.3">
      <c r="C330" s="64"/>
    </row>
    <row r="331" spans="3:3" x14ac:dyDescent="0.3">
      <c r="C331" s="64"/>
    </row>
    <row r="332" spans="3:3" x14ac:dyDescent="0.3">
      <c r="C332" s="64"/>
    </row>
    <row r="333" spans="3:3" x14ac:dyDescent="0.3">
      <c r="C333" s="64"/>
    </row>
    <row r="334" spans="3:3" x14ac:dyDescent="0.3">
      <c r="C334" s="64"/>
    </row>
    <row r="335" spans="3:3" x14ac:dyDescent="0.3">
      <c r="C335" s="64"/>
    </row>
    <row r="336" spans="3:3" x14ac:dyDescent="0.3">
      <c r="C336" s="64"/>
    </row>
    <row r="337" spans="3:3" x14ac:dyDescent="0.3">
      <c r="C337" s="64"/>
    </row>
    <row r="338" spans="3:3" x14ac:dyDescent="0.3">
      <c r="C338" s="64"/>
    </row>
    <row r="339" spans="3:3" x14ac:dyDescent="0.3">
      <c r="C339" s="64"/>
    </row>
    <row r="340" spans="3:3" x14ac:dyDescent="0.3">
      <c r="C340" s="64"/>
    </row>
    <row r="341" spans="3:3" x14ac:dyDescent="0.3">
      <c r="C341" s="64"/>
    </row>
    <row r="342" spans="3:3" x14ac:dyDescent="0.3">
      <c r="C342" s="64"/>
    </row>
  </sheetData>
  <sheetProtection formatColumns="0" formatRows="0" sort="0" autoFilter="0"/>
  <mergeCells count="1">
    <mergeCell ref="B8:E8"/>
  </mergeCells>
  <dataValidations count="3">
    <dataValidation type="date" operator="greaterThan" allowBlank="1" showInputMessage="1" showErrorMessage="1" sqref="G13:G170">
      <formula1>1</formula1>
    </dataValidation>
    <dataValidation type="decimal" operator="greaterThanOrEqual" allowBlank="1" showInputMessage="1" showErrorMessage="1" sqref="H13:H170 I152:I170 J13:L170">
      <formula1>0</formula1>
    </dataValidation>
    <dataValidation type="list" allowBlank="1" showInputMessage="1" showErrorMessage="1" sqref="C10">
      <formula1>"Level I, Level II and III"</formula1>
    </dataValidation>
  </dataValidations>
  <pageMargins left="0.7" right="0.7" top="0.75" bottom="0.75" header="0.3" footer="0.3"/>
  <pageSetup paperSize="10001" scale="4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123825</xdr:colOff>
                    <xdr:row>12</xdr:row>
                    <xdr:rowOff>28575</xdr:rowOff>
                  </from>
                  <to>
                    <xdr:col>1</xdr:col>
                    <xdr:colOff>1209675</xdr:colOff>
                    <xdr:row>13</xdr:row>
                    <xdr:rowOff>0</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1276350</xdr:colOff>
                    <xdr:row>12</xdr:row>
                    <xdr:rowOff>28575</xdr:rowOff>
                  </from>
                  <to>
                    <xdr:col>1</xdr:col>
                    <xdr:colOff>1704975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80"/>
  <sheetViews>
    <sheetView showGridLines="0" topLeftCell="F12" zoomScale="90" zoomScaleNormal="90" workbookViewId="0">
      <selection activeCell="K13" sqref="K13:K36"/>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25.42578125" style="1" customWidth="1"/>
    <col min="5" max="5" width="34.5703125" style="1" customWidth="1"/>
    <col min="6" max="6" width="43.140625" style="1" customWidth="1"/>
    <col min="7" max="7" width="16.5703125" style="2" customWidth="1"/>
    <col min="8" max="8" width="17.42578125" style="1" customWidth="1"/>
    <col min="9" max="9" width="17.42578125" style="7" customWidth="1"/>
    <col min="10" max="10" width="11.7109375" style="1" customWidth="1"/>
    <col min="11" max="11" width="25.85546875" style="1" customWidth="1"/>
    <col min="12" max="12" width="8.7109375" style="1"/>
    <col min="13" max="13" width="33.140625" style="1" customWidth="1"/>
    <col min="14" max="16384" width="8.710937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68</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78" t="s">
        <v>13</v>
      </c>
      <c r="C8" s="79"/>
      <c r="D8" s="79"/>
      <c r="E8" s="79"/>
      <c r="F8" s="48"/>
      <c r="H8" s="3"/>
      <c r="I8" s="3"/>
    </row>
    <row r="9" spans="2:122" s="6" customFormat="1" ht="54.95" customHeight="1" x14ac:dyDescent="0.25">
      <c r="B9" s="76" t="s">
        <v>19</v>
      </c>
      <c r="C9" s="77"/>
      <c r="D9" s="77"/>
      <c r="E9" s="77"/>
      <c r="F9" s="62"/>
    </row>
    <row r="10" spans="2:122" x14ac:dyDescent="0.3">
      <c r="B10" s="63" t="s">
        <v>114</v>
      </c>
      <c r="C10" s="50"/>
      <c r="D10" s="50"/>
      <c r="E10" s="50"/>
      <c r="F10" s="51"/>
      <c r="H10" s="3"/>
      <c r="I10" s="3"/>
    </row>
    <row r="12" spans="2:122" s="7" customFormat="1" ht="38.2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ht="30.75" x14ac:dyDescent="0.3">
      <c r="B13" s="5">
        <v>1</v>
      </c>
      <c r="C13" s="38"/>
      <c r="D13" s="68" t="s">
        <v>126</v>
      </c>
      <c r="E13" s="38" t="s">
        <v>218</v>
      </c>
      <c r="F13" s="38" t="s">
        <v>166</v>
      </c>
      <c r="G13" s="39">
        <v>40293</v>
      </c>
      <c r="H13" s="40">
        <v>6000</v>
      </c>
      <c r="I13" s="40">
        <v>1</v>
      </c>
      <c r="J13" s="40">
        <v>6000</v>
      </c>
      <c r="K13" s="40">
        <v>750</v>
      </c>
      <c r="L13" s="40">
        <v>8</v>
      </c>
      <c r="M13" s="38"/>
    </row>
    <row r="14" spans="2:122" s="7" customFormat="1" x14ac:dyDescent="0.3">
      <c r="B14" s="5">
        <v>2</v>
      </c>
      <c r="C14" s="38"/>
      <c r="D14" s="68" t="s">
        <v>162</v>
      </c>
      <c r="E14" s="38" t="s">
        <v>218</v>
      </c>
      <c r="F14" s="38" t="s">
        <v>166</v>
      </c>
      <c r="G14" s="39">
        <v>40294</v>
      </c>
      <c r="H14" s="40">
        <v>20000</v>
      </c>
      <c r="I14" s="40">
        <v>1</v>
      </c>
      <c r="J14" s="40">
        <v>20000</v>
      </c>
      <c r="K14" s="40">
        <v>4000</v>
      </c>
      <c r="L14" s="40">
        <v>5</v>
      </c>
      <c r="M14" s="38"/>
    </row>
    <row r="15" spans="2:122" s="7" customFormat="1" ht="30.75" x14ac:dyDescent="0.3">
      <c r="B15" s="5">
        <v>3</v>
      </c>
      <c r="C15" s="38"/>
      <c r="D15" s="68" t="s">
        <v>133</v>
      </c>
      <c r="E15" s="38" t="s">
        <v>218</v>
      </c>
      <c r="F15" s="38" t="s">
        <v>166</v>
      </c>
      <c r="G15" s="39">
        <v>40275</v>
      </c>
      <c r="H15" s="40">
        <v>4000</v>
      </c>
      <c r="I15" s="40">
        <v>1</v>
      </c>
      <c r="J15" s="40">
        <v>4000</v>
      </c>
      <c r="K15" s="40">
        <v>666.66666666666663</v>
      </c>
      <c r="L15" s="40">
        <v>6</v>
      </c>
      <c r="M15" s="38"/>
    </row>
    <row r="16" spans="2:122" s="7" customFormat="1" ht="30.75" x14ac:dyDescent="0.3">
      <c r="B16" s="5">
        <v>4</v>
      </c>
      <c r="C16" s="38"/>
      <c r="D16" s="68" t="s">
        <v>132</v>
      </c>
      <c r="E16" s="38" t="s">
        <v>218</v>
      </c>
      <c r="F16" s="38" t="s">
        <v>166</v>
      </c>
      <c r="G16" s="39">
        <v>40296</v>
      </c>
      <c r="H16" s="40">
        <v>6000</v>
      </c>
      <c r="I16" s="40">
        <v>1</v>
      </c>
      <c r="J16" s="40">
        <v>6000</v>
      </c>
      <c r="K16" s="40">
        <v>1200</v>
      </c>
      <c r="L16" s="40">
        <v>5</v>
      </c>
      <c r="M16" s="38"/>
    </row>
    <row r="17" spans="2:13" s="7" customFormat="1" x14ac:dyDescent="0.3">
      <c r="B17" s="5">
        <v>5</v>
      </c>
      <c r="C17" s="38"/>
      <c r="D17" s="68" t="s">
        <v>157</v>
      </c>
      <c r="E17" s="38" t="s">
        <v>231</v>
      </c>
      <c r="F17" s="38" t="s">
        <v>166</v>
      </c>
      <c r="G17" s="39">
        <v>40297</v>
      </c>
      <c r="H17" s="40">
        <v>20000</v>
      </c>
      <c r="I17" s="40">
        <v>1</v>
      </c>
      <c r="J17" s="40">
        <v>20000</v>
      </c>
      <c r="K17" s="40">
        <v>4000</v>
      </c>
      <c r="L17" s="40">
        <v>5</v>
      </c>
      <c r="M17" s="38"/>
    </row>
    <row r="18" spans="2:13" s="7" customFormat="1" x14ac:dyDescent="0.3">
      <c r="B18" s="5">
        <v>6</v>
      </c>
      <c r="C18" s="38"/>
      <c r="D18" s="68" t="s">
        <v>140</v>
      </c>
      <c r="E18" s="38" t="s">
        <v>218</v>
      </c>
      <c r="F18" s="38" t="s">
        <v>166</v>
      </c>
      <c r="G18" s="39">
        <v>40298</v>
      </c>
      <c r="H18" s="40">
        <v>10000</v>
      </c>
      <c r="I18" s="40">
        <v>1</v>
      </c>
      <c r="J18" s="40">
        <v>10000</v>
      </c>
      <c r="K18" s="40">
        <v>1666.6666666666667</v>
      </c>
      <c r="L18" s="40">
        <v>6</v>
      </c>
      <c r="M18" s="38"/>
    </row>
    <row r="19" spans="2:13" s="7" customFormat="1" x14ac:dyDescent="0.3">
      <c r="B19" s="5">
        <v>7</v>
      </c>
      <c r="C19" s="38"/>
      <c r="D19" s="68" t="s">
        <v>138</v>
      </c>
      <c r="E19" s="38" t="s">
        <v>239</v>
      </c>
      <c r="F19" s="38" t="s">
        <v>166</v>
      </c>
      <c r="G19" s="39">
        <v>40299</v>
      </c>
      <c r="H19" s="40">
        <v>2500</v>
      </c>
      <c r="I19" s="40">
        <v>1</v>
      </c>
      <c r="J19" s="40">
        <v>2500</v>
      </c>
      <c r="K19" s="40">
        <v>416.66666666666669</v>
      </c>
      <c r="L19" s="40">
        <v>6</v>
      </c>
      <c r="M19" s="38"/>
    </row>
    <row r="20" spans="2:13" s="7" customFormat="1" x14ac:dyDescent="0.3">
      <c r="B20" s="5">
        <v>8</v>
      </c>
      <c r="C20" s="38"/>
      <c r="D20" s="68" t="s">
        <v>146</v>
      </c>
      <c r="E20" s="38" t="s">
        <v>280</v>
      </c>
      <c r="F20" s="38" t="s">
        <v>166</v>
      </c>
      <c r="G20" s="39">
        <v>40300</v>
      </c>
      <c r="H20" s="40">
        <v>15000</v>
      </c>
      <c r="I20" s="40">
        <v>1</v>
      </c>
      <c r="J20" s="40">
        <v>15000</v>
      </c>
      <c r="K20" s="40">
        <v>2500</v>
      </c>
      <c r="L20" s="40">
        <v>6</v>
      </c>
      <c r="M20" s="38"/>
    </row>
    <row r="21" spans="2:13" s="7" customFormat="1" x14ac:dyDescent="0.3">
      <c r="B21" s="5">
        <v>9</v>
      </c>
      <c r="C21" s="38"/>
      <c r="D21" s="68" t="s">
        <v>185</v>
      </c>
      <c r="E21" s="38" t="s">
        <v>217</v>
      </c>
      <c r="F21" s="38" t="s">
        <v>216</v>
      </c>
      <c r="G21" s="39">
        <v>42242</v>
      </c>
      <c r="H21" s="40">
        <v>5000</v>
      </c>
      <c r="I21" s="40">
        <v>1</v>
      </c>
      <c r="J21" s="40">
        <v>5000</v>
      </c>
      <c r="K21" s="40">
        <v>625</v>
      </c>
      <c r="L21" s="40">
        <v>8</v>
      </c>
      <c r="M21" s="38"/>
    </row>
    <row r="22" spans="2:13" s="7" customFormat="1" x14ac:dyDescent="0.3">
      <c r="B22" s="5">
        <v>10</v>
      </c>
      <c r="C22" s="38"/>
      <c r="D22" s="68" t="s">
        <v>213</v>
      </c>
      <c r="E22" s="38" t="s">
        <v>217</v>
      </c>
      <c r="F22" s="38" t="s">
        <v>216</v>
      </c>
      <c r="G22" s="39">
        <v>42243</v>
      </c>
      <c r="H22" s="40">
        <v>1000</v>
      </c>
      <c r="I22" s="40">
        <v>1</v>
      </c>
      <c r="J22" s="40">
        <v>1000</v>
      </c>
      <c r="K22" s="40">
        <v>125</v>
      </c>
      <c r="L22" s="40">
        <v>8</v>
      </c>
      <c r="M22" s="38"/>
    </row>
    <row r="23" spans="2:13" s="7" customFormat="1" x14ac:dyDescent="0.3">
      <c r="B23" s="5">
        <v>11</v>
      </c>
      <c r="C23" s="38"/>
      <c r="D23" s="68" t="s">
        <v>140</v>
      </c>
      <c r="E23" s="38" t="s">
        <v>238</v>
      </c>
      <c r="F23" s="38" t="s">
        <v>211</v>
      </c>
      <c r="G23" s="39">
        <v>42244</v>
      </c>
      <c r="H23" s="40">
        <v>5500</v>
      </c>
      <c r="I23" s="40">
        <v>1</v>
      </c>
      <c r="J23" s="40">
        <v>5500</v>
      </c>
      <c r="K23" s="40">
        <v>785.71428571428567</v>
      </c>
      <c r="L23" s="40">
        <v>7</v>
      </c>
      <c r="M23" s="38"/>
    </row>
    <row r="24" spans="2:13" s="7" customFormat="1" x14ac:dyDescent="0.3">
      <c r="B24" s="5">
        <v>12</v>
      </c>
      <c r="C24" s="38"/>
      <c r="D24" s="68" t="s">
        <v>209</v>
      </c>
      <c r="E24" s="38" t="s">
        <v>273</v>
      </c>
      <c r="F24" s="38" t="s">
        <v>211</v>
      </c>
      <c r="G24" s="39">
        <v>40223</v>
      </c>
      <c r="H24" s="40">
        <v>1000</v>
      </c>
      <c r="I24" s="40">
        <v>1</v>
      </c>
      <c r="J24" s="40">
        <v>1000</v>
      </c>
      <c r="K24" s="40">
        <v>142.85714285714286</v>
      </c>
      <c r="L24" s="40">
        <v>7</v>
      </c>
      <c r="M24" s="38"/>
    </row>
    <row r="25" spans="2:13" s="7" customFormat="1" x14ac:dyDescent="0.3">
      <c r="B25" s="5">
        <v>13</v>
      </c>
      <c r="C25" s="38"/>
      <c r="D25" s="68" t="s">
        <v>182</v>
      </c>
      <c r="E25" s="38" t="s">
        <v>245</v>
      </c>
      <c r="F25" s="38" t="s">
        <v>211</v>
      </c>
      <c r="G25" s="39">
        <v>40658</v>
      </c>
      <c r="H25" s="40">
        <v>150000</v>
      </c>
      <c r="I25" s="40">
        <v>1</v>
      </c>
      <c r="J25" s="40">
        <v>150000</v>
      </c>
      <c r="K25" s="40">
        <v>21428.571428571428</v>
      </c>
      <c r="L25" s="40">
        <v>7</v>
      </c>
      <c r="M25" s="38"/>
    </row>
    <row r="26" spans="2:13" s="7" customFormat="1" x14ac:dyDescent="0.3">
      <c r="B26" s="5">
        <v>14</v>
      </c>
      <c r="C26" s="38"/>
      <c r="D26" s="68" t="s">
        <v>188</v>
      </c>
      <c r="E26" s="38" t="s">
        <v>245</v>
      </c>
      <c r="F26" s="38" t="s">
        <v>211</v>
      </c>
      <c r="G26" s="39">
        <v>41368</v>
      </c>
      <c r="H26" s="40">
        <v>10500</v>
      </c>
      <c r="I26" s="40">
        <v>1</v>
      </c>
      <c r="J26" s="40">
        <v>10500</v>
      </c>
      <c r="K26" s="40">
        <v>1750</v>
      </c>
      <c r="L26" s="40">
        <v>6</v>
      </c>
      <c r="M26" s="38"/>
    </row>
    <row r="27" spans="2:13" s="7" customFormat="1" x14ac:dyDescent="0.3">
      <c r="B27" s="5">
        <v>15</v>
      </c>
      <c r="C27" s="38"/>
      <c r="D27" s="68" t="s">
        <v>189</v>
      </c>
      <c r="E27" s="38" t="s">
        <v>260</v>
      </c>
      <c r="F27" s="38" t="s">
        <v>211</v>
      </c>
      <c r="G27" s="39">
        <v>42428</v>
      </c>
      <c r="H27" s="40">
        <v>800</v>
      </c>
      <c r="I27" s="40">
        <v>1</v>
      </c>
      <c r="J27" s="40">
        <v>800</v>
      </c>
      <c r="K27" s="40">
        <v>160</v>
      </c>
      <c r="L27" s="40">
        <v>5</v>
      </c>
      <c r="M27" s="38"/>
    </row>
    <row r="28" spans="2:13" s="7" customFormat="1" x14ac:dyDescent="0.3">
      <c r="B28" s="5">
        <v>16</v>
      </c>
      <c r="C28" s="38"/>
      <c r="D28" s="68" t="s">
        <v>190</v>
      </c>
      <c r="E28" s="38" t="s">
        <v>260</v>
      </c>
      <c r="F28" s="38" t="s">
        <v>211</v>
      </c>
      <c r="G28" s="39">
        <v>40980</v>
      </c>
      <c r="H28" s="40">
        <v>700</v>
      </c>
      <c r="I28" s="40">
        <v>1</v>
      </c>
      <c r="J28" s="40">
        <v>700</v>
      </c>
      <c r="K28" s="40">
        <v>87.5</v>
      </c>
      <c r="L28" s="40">
        <v>8</v>
      </c>
      <c r="M28" s="38"/>
    </row>
    <row r="29" spans="2:13" s="7" customFormat="1" x14ac:dyDescent="0.3">
      <c r="B29" s="5">
        <v>17</v>
      </c>
      <c r="C29" s="38"/>
      <c r="D29" s="68" t="s">
        <v>191</v>
      </c>
      <c r="E29" s="38" t="s">
        <v>261</v>
      </c>
      <c r="F29" s="38" t="s">
        <v>211</v>
      </c>
      <c r="G29" s="39">
        <v>41754</v>
      </c>
      <c r="H29" s="40">
        <v>2900</v>
      </c>
      <c r="I29" s="40">
        <v>1</v>
      </c>
      <c r="J29" s="40">
        <v>2900</v>
      </c>
      <c r="K29" s="40">
        <v>580</v>
      </c>
      <c r="L29" s="40">
        <v>5</v>
      </c>
      <c r="M29" s="38"/>
    </row>
    <row r="30" spans="2:13" s="7" customFormat="1" x14ac:dyDescent="0.3">
      <c r="B30" s="5">
        <v>18</v>
      </c>
      <c r="C30" s="38"/>
      <c r="D30" s="68" t="s">
        <v>192</v>
      </c>
      <c r="E30" s="38" t="s">
        <v>262</v>
      </c>
      <c r="F30" s="38" t="s">
        <v>211</v>
      </c>
      <c r="G30" s="39">
        <v>42914</v>
      </c>
      <c r="H30" s="40">
        <v>3000</v>
      </c>
      <c r="I30" s="40">
        <v>1</v>
      </c>
      <c r="J30" s="40">
        <v>3000</v>
      </c>
      <c r="K30" s="40">
        <v>500</v>
      </c>
      <c r="L30" s="40">
        <v>6</v>
      </c>
      <c r="M30" s="38"/>
    </row>
    <row r="31" spans="2:13" s="7" customFormat="1" x14ac:dyDescent="0.3">
      <c r="B31" s="5">
        <v>19</v>
      </c>
      <c r="C31" s="38"/>
      <c r="D31" s="68" t="s">
        <v>174</v>
      </c>
      <c r="E31" s="38" t="s">
        <v>250</v>
      </c>
      <c r="F31" s="38" t="s">
        <v>211</v>
      </c>
      <c r="G31" s="39">
        <v>42627</v>
      </c>
      <c r="H31" s="40">
        <v>3500</v>
      </c>
      <c r="I31" s="40">
        <v>1</v>
      </c>
      <c r="J31" s="40">
        <v>3500</v>
      </c>
      <c r="K31" s="40">
        <v>500</v>
      </c>
      <c r="L31" s="40">
        <v>7</v>
      </c>
      <c r="M31" s="38"/>
    </row>
    <row r="32" spans="2:13" s="7" customFormat="1" x14ac:dyDescent="0.3">
      <c r="B32" s="5">
        <v>20</v>
      </c>
      <c r="C32" s="38"/>
      <c r="D32" s="68" t="s">
        <v>181</v>
      </c>
      <c r="E32" s="38" t="s">
        <v>254</v>
      </c>
      <c r="F32" s="38" t="s">
        <v>211</v>
      </c>
      <c r="G32" s="39">
        <v>42879</v>
      </c>
      <c r="H32" s="40">
        <v>5000</v>
      </c>
      <c r="I32" s="40">
        <v>1</v>
      </c>
      <c r="J32" s="40">
        <v>5000</v>
      </c>
      <c r="K32" s="40">
        <v>714.28571428571433</v>
      </c>
      <c r="L32" s="40">
        <v>7</v>
      </c>
      <c r="M32" s="38"/>
    </row>
    <row r="33" spans="2:13" s="7" customFormat="1" x14ac:dyDescent="0.3">
      <c r="B33" s="5">
        <v>21</v>
      </c>
      <c r="C33" s="38"/>
      <c r="D33" s="68" t="s">
        <v>182</v>
      </c>
      <c r="E33" s="38" t="s">
        <v>245</v>
      </c>
      <c r="F33" s="38" t="s">
        <v>211</v>
      </c>
      <c r="G33" s="39">
        <v>41154</v>
      </c>
      <c r="H33" s="40">
        <v>100000</v>
      </c>
      <c r="I33" s="40">
        <v>1</v>
      </c>
      <c r="J33" s="40">
        <v>100000</v>
      </c>
      <c r="K33" s="40">
        <v>12500</v>
      </c>
      <c r="L33" s="40">
        <v>8</v>
      </c>
      <c r="M33" s="38"/>
    </row>
    <row r="34" spans="2:13" s="7" customFormat="1" x14ac:dyDescent="0.3">
      <c r="B34" s="5">
        <v>22</v>
      </c>
      <c r="C34" s="38"/>
      <c r="D34" s="68" t="s">
        <v>183</v>
      </c>
      <c r="E34" s="38" t="s">
        <v>256</v>
      </c>
      <c r="F34" s="38" t="s">
        <v>211</v>
      </c>
      <c r="G34" s="39">
        <v>41155</v>
      </c>
      <c r="H34" s="40">
        <v>2500</v>
      </c>
      <c r="I34" s="40">
        <v>1</v>
      </c>
      <c r="J34" s="40">
        <v>2500</v>
      </c>
      <c r="K34" s="40">
        <v>416.66666666666669</v>
      </c>
      <c r="L34" s="40">
        <v>6</v>
      </c>
      <c r="M34" s="38"/>
    </row>
    <row r="35" spans="2:13" s="7" customFormat="1" x14ac:dyDescent="0.3">
      <c r="B35" s="5">
        <v>23</v>
      </c>
      <c r="C35" s="38"/>
      <c r="D35" s="68" t="s">
        <v>184</v>
      </c>
      <c r="E35" s="38" t="s">
        <v>257</v>
      </c>
      <c r="F35" s="38" t="s">
        <v>211</v>
      </c>
      <c r="G35" s="39">
        <v>41156</v>
      </c>
      <c r="H35" s="40">
        <v>3000</v>
      </c>
      <c r="I35" s="40">
        <v>1</v>
      </c>
      <c r="J35" s="40">
        <v>3000</v>
      </c>
      <c r="K35" s="40">
        <v>500</v>
      </c>
      <c r="L35" s="40">
        <v>6</v>
      </c>
      <c r="M35" s="38"/>
    </row>
    <row r="36" spans="2:13" s="7" customFormat="1" x14ac:dyDescent="0.3">
      <c r="B36" s="5">
        <v>24</v>
      </c>
      <c r="C36" s="38"/>
      <c r="D36" s="68" t="s">
        <v>169</v>
      </c>
      <c r="E36" s="38" t="s">
        <v>246</v>
      </c>
      <c r="F36" s="38" t="s">
        <v>211</v>
      </c>
      <c r="G36" s="39">
        <v>41157</v>
      </c>
      <c r="H36" s="40">
        <v>500</v>
      </c>
      <c r="I36" s="40">
        <v>1</v>
      </c>
      <c r="J36" s="40">
        <v>500</v>
      </c>
      <c r="K36" s="40">
        <v>100</v>
      </c>
      <c r="L36" s="40">
        <v>5</v>
      </c>
      <c r="M36" s="38"/>
    </row>
    <row r="37" spans="2:13" s="7" customFormat="1" x14ac:dyDescent="0.3">
      <c r="B37" s="5">
        <v>25</v>
      </c>
      <c r="C37" s="38"/>
      <c r="D37" s="38"/>
      <c r="E37" s="38"/>
      <c r="F37" s="38"/>
      <c r="G37" s="39"/>
      <c r="H37" s="40"/>
      <c r="I37" s="40"/>
      <c r="J37" s="40"/>
      <c r="K37" s="40"/>
      <c r="L37" s="40"/>
      <c r="M37" s="38"/>
    </row>
    <row r="38" spans="2:13" s="7" customFormat="1" x14ac:dyDescent="0.3">
      <c r="B38" s="5">
        <v>26</v>
      </c>
      <c r="C38" s="38"/>
      <c r="D38" s="38"/>
      <c r="E38" s="38"/>
      <c r="F38" s="38"/>
      <c r="G38" s="39"/>
      <c r="H38" s="40"/>
      <c r="I38" s="40"/>
      <c r="J38" s="40"/>
      <c r="K38" s="40"/>
      <c r="L38" s="40"/>
      <c r="M38" s="38"/>
    </row>
    <row r="39" spans="2:13" s="7" customFormat="1" x14ac:dyDescent="0.3">
      <c r="B39" s="5">
        <v>27</v>
      </c>
      <c r="C39" s="38"/>
      <c r="D39" s="38"/>
      <c r="E39" s="38"/>
      <c r="F39" s="38"/>
      <c r="G39" s="39"/>
      <c r="H39" s="40"/>
      <c r="I39" s="40"/>
      <c r="J39" s="40"/>
      <c r="K39" s="40"/>
      <c r="L39" s="40"/>
      <c r="M39" s="38"/>
    </row>
    <row r="40" spans="2:13" s="7" customFormat="1" x14ac:dyDescent="0.3">
      <c r="B40" s="5">
        <v>28</v>
      </c>
      <c r="C40" s="38"/>
      <c r="D40" s="38"/>
      <c r="E40" s="38"/>
      <c r="F40" s="38"/>
      <c r="G40" s="39"/>
      <c r="H40" s="40"/>
      <c r="I40" s="40"/>
      <c r="J40" s="40"/>
      <c r="K40" s="40"/>
      <c r="L40" s="40"/>
      <c r="M40" s="38"/>
    </row>
    <row r="41" spans="2:13" s="7" customFormat="1" x14ac:dyDescent="0.3">
      <c r="B41" s="5">
        <v>29</v>
      </c>
      <c r="C41" s="38"/>
      <c r="D41" s="38"/>
      <c r="E41" s="38"/>
      <c r="F41" s="38"/>
      <c r="G41" s="39"/>
      <c r="H41" s="40"/>
      <c r="I41" s="40"/>
      <c r="J41" s="40"/>
      <c r="K41" s="40"/>
      <c r="L41" s="40"/>
      <c r="M41" s="38"/>
    </row>
    <row r="42" spans="2:13" s="7" customFormat="1" x14ac:dyDescent="0.3">
      <c r="B42" s="5">
        <v>30</v>
      </c>
      <c r="C42" s="38"/>
      <c r="D42" s="38"/>
      <c r="E42" s="38"/>
      <c r="F42" s="38"/>
      <c r="G42" s="39"/>
      <c r="H42" s="40"/>
      <c r="I42" s="40"/>
      <c r="J42" s="40"/>
      <c r="K42" s="40"/>
      <c r="L42" s="40"/>
      <c r="M42" s="38"/>
    </row>
    <row r="43" spans="2:13" s="7" customFormat="1" x14ac:dyDescent="0.3">
      <c r="B43" s="5">
        <v>31</v>
      </c>
      <c r="C43" s="38"/>
      <c r="D43" s="38"/>
      <c r="E43" s="38"/>
      <c r="F43" s="38"/>
      <c r="G43" s="39"/>
      <c r="H43" s="40"/>
      <c r="I43" s="40"/>
      <c r="J43" s="40"/>
      <c r="K43" s="40"/>
      <c r="L43" s="40"/>
      <c r="M43" s="38"/>
    </row>
    <row r="44" spans="2:13" s="7" customFormat="1" x14ac:dyDescent="0.3">
      <c r="B44" s="5">
        <v>32</v>
      </c>
      <c r="C44" s="38"/>
      <c r="D44" s="38"/>
      <c r="E44" s="38"/>
      <c r="F44" s="38"/>
      <c r="G44" s="39"/>
      <c r="H44" s="40"/>
      <c r="I44" s="40"/>
      <c r="J44" s="40"/>
      <c r="K44" s="40"/>
      <c r="L44" s="40"/>
      <c r="M44" s="38"/>
    </row>
    <row r="45" spans="2:13" s="7" customFormat="1" x14ac:dyDescent="0.3">
      <c r="B45" s="5">
        <v>33</v>
      </c>
      <c r="C45" s="38"/>
      <c r="D45" s="38"/>
      <c r="E45" s="38"/>
      <c r="F45" s="38"/>
      <c r="G45" s="39"/>
      <c r="H45" s="40"/>
      <c r="I45" s="40"/>
      <c r="J45" s="40"/>
      <c r="K45" s="40"/>
      <c r="L45" s="40"/>
      <c r="M45" s="38"/>
    </row>
    <row r="46" spans="2:13" s="7" customFormat="1" x14ac:dyDescent="0.3">
      <c r="B46" s="5">
        <v>34</v>
      </c>
      <c r="C46" s="38"/>
      <c r="D46" s="38"/>
      <c r="E46" s="38"/>
      <c r="F46" s="38"/>
      <c r="G46" s="39"/>
      <c r="H46" s="40"/>
      <c r="I46" s="40"/>
      <c r="J46" s="40"/>
      <c r="K46" s="40"/>
      <c r="L46" s="40"/>
      <c r="M46" s="38"/>
    </row>
    <row r="47" spans="2:13" s="7" customFormat="1" x14ac:dyDescent="0.3">
      <c r="B47" s="5">
        <v>35</v>
      </c>
      <c r="C47" s="38"/>
      <c r="D47" s="38"/>
      <c r="E47" s="38"/>
      <c r="F47" s="38"/>
      <c r="G47" s="39"/>
      <c r="H47" s="40"/>
      <c r="I47" s="40"/>
      <c r="J47" s="40"/>
      <c r="K47" s="40"/>
      <c r="L47" s="40"/>
      <c r="M47" s="38"/>
    </row>
    <row r="48" spans="2:13" s="7" customFormat="1" x14ac:dyDescent="0.3">
      <c r="B48" s="5">
        <v>36</v>
      </c>
      <c r="C48" s="38"/>
      <c r="D48" s="38"/>
      <c r="E48" s="38"/>
      <c r="F48" s="38"/>
      <c r="G48" s="39"/>
      <c r="H48" s="40"/>
      <c r="I48" s="40"/>
      <c r="J48" s="40"/>
      <c r="K48" s="40"/>
      <c r="L48" s="40"/>
      <c r="M48" s="38"/>
    </row>
    <row r="49" spans="2:13" s="7" customFormat="1" x14ac:dyDescent="0.3">
      <c r="B49" s="5">
        <v>37</v>
      </c>
      <c r="C49" s="38"/>
      <c r="D49" s="38"/>
      <c r="E49" s="38"/>
      <c r="F49" s="38"/>
      <c r="G49" s="39"/>
      <c r="H49" s="40"/>
      <c r="I49" s="40"/>
      <c r="J49" s="40"/>
      <c r="K49" s="40"/>
      <c r="L49" s="40"/>
      <c r="M49" s="38"/>
    </row>
    <row r="50" spans="2:13" s="7" customFormat="1" x14ac:dyDescent="0.3">
      <c r="B50" s="5">
        <v>38</v>
      </c>
      <c r="C50" s="38"/>
      <c r="D50" s="38"/>
      <c r="E50" s="38"/>
      <c r="F50" s="38"/>
      <c r="G50" s="39"/>
      <c r="H50" s="40"/>
      <c r="I50" s="40"/>
      <c r="J50" s="40"/>
      <c r="K50" s="40"/>
      <c r="L50" s="40"/>
      <c r="M50" s="38"/>
    </row>
    <row r="51" spans="2:13" s="7" customFormat="1" x14ac:dyDescent="0.3">
      <c r="B51" s="5">
        <v>39</v>
      </c>
      <c r="C51" s="38"/>
      <c r="D51" s="38"/>
      <c r="E51" s="38"/>
      <c r="F51" s="38"/>
      <c r="G51" s="39"/>
      <c r="H51" s="40"/>
      <c r="I51" s="40"/>
      <c r="J51" s="40"/>
      <c r="K51" s="40"/>
      <c r="L51" s="40"/>
      <c r="M51" s="38"/>
    </row>
    <row r="52" spans="2:13" s="7" customFormat="1" x14ac:dyDescent="0.3">
      <c r="B52" s="5">
        <v>40</v>
      </c>
      <c r="C52" s="38"/>
      <c r="D52" s="38"/>
      <c r="E52" s="38"/>
      <c r="F52" s="38"/>
      <c r="G52" s="39"/>
      <c r="H52" s="40"/>
      <c r="I52" s="40"/>
      <c r="J52" s="40"/>
      <c r="K52" s="40"/>
      <c r="L52" s="40"/>
      <c r="M52" s="38"/>
    </row>
    <row r="53" spans="2:13" s="7" customFormat="1" x14ac:dyDescent="0.3">
      <c r="B53" s="5">
        <v>41</v>
      </c>
      <c r="C53" s="38"/>
      <c r="D53" s="38"/>
      <c r="E53" s="38"/>
      <c r="F53" s="38"/>
      <c r="G53" s="39"/>
      <c r="H53" s="40"/>
      <c r="I53" s="40"/>
      <c r="J53" s="40"/>
      <c r="K53" s="40"/>
      <c r="L53" s="40"/>
      <c r="M53" s="38"/>
    </row>
    <row r="54" spans="2:13" s="7" customFormat="1" x14ac:dyDescent="0.3">
      <c r="B54" s="5">
        <v>42</v>
      </c>
      <c r="C54" s="38"/>
      <c r="D54" s="38"/>
      <c r="E54" s="38"/>
      <c r="F54" s="38"/>
      <c r="G54" s="39"/>
      <c r="H54" s="40"/>
      <c r="I54" s="40"/>
      <c r="J54" s="40"/>
      <c r="K54" s="40"/>
      <c r="L54" s="40"/>
      <c r="M54" s="38"/>
    </row>
    <row r="55" spans="2:13" s="7" customFormat="1" x14ac:dyDescent="0.3">
      <c r="B55" s="5">
        <v>43</v>
      </c>
      <c r="C55" s="38"/>
      <c r="D55" s="38"/>
      <c r="E55" s="38"/>
      <c r="F55" s="38"/>
      <c r="G55" s="39"/>
      <c r="H55" s="40"/>
      <c r="I55" s="40"/>
      <c r="J55" s="40"/>
      <c r="K55" s="40"/>
      <c r="L55" s="40"/>
      <c r="M55" s="38"/>
    </row>
    <row r="56" spans="2:13" s="7" customFormat="1" x14ac:dyDescent="0.3">
      <c r="B56" s="5">
        <v>44</v>
      </c>
      <c r="C56" s="38"/>
      <c r="D56" s="38"/>
      <c r="E56" s="38"/>
      <c r="F56" s="38"/>
      <c r="G56" s="39"/>
      <c r="H56" s="40"/>
      <c r="I56" s="40"/>
      <c r="J56" s="40"/>
      <c r="K56" s="40"/>
      <c r="L56" s="40"/>
      <c r="M56" s="38"/>
    </row>
    <row r="57" spans="2:13" s="7" customFormat="1" x14ac:dyDescent="0.3">
      <c r="B57" s="5">
        <v>45</v>
      </c>
      <c r="C57" s="38"/>
      <c r="D57" s="38"/>
      <c r="E57" s="38"/>
      <c r="F57" s="38"/>
      <c r="G57" s="39"/>
      <c r="H57" s="40"/>
      <c r="I57" s="40"/>
      <c r="J57" s="40"/>
      <c r="K57" s="40"/>
      <c r="L57" s="40"/>
      <c r="M57" s="38"/>
    </row>
    <row r="58" spans="2:13" s="7" customFormat="1" x14ac:dyDescent="0.3">
      <c r="B58" s="5">
        <v>46</v>
      </c>
      <c r="C58" s="38"/>
      <c r="D58" s="38"/>
      <c r="E58" s="38"/>
      <c r="F58" s="38"/>
      <c r="G58" s="39"/>
      <c r="H58" s="40"/>
      <c r="I58" s="40"/>
      <c r="J58" s="40"/>
      <c r="K58" s="40"/>
      <c r="L58" s="40"/>
      <c r="M58" s="38"/>
    </row>
    <row r="59" spans="2:13" s="7" customFormat="1" x14ac:dyDescent="0.3">
      <c r="B59" s="5">
        <v>47</v>
      </c>
      <c r="C59" s="38"/>
      <c r="D59" s="38"/>
      <c r="E59" s="38"/>
      <c r="F59" s="38"/>
      <c r="G59" s="39"/>
      <c r="H59" s="40"/>
      <c r="I59" s="40"/>
      <c r="J59" s="40"/>
      <c r="K59" s="40"/>
      <c r="L59" s="40"/>
      <c r="M59" s="38"/>
    </row>
    <row r="60" spans="2:13" s="7" customFormat="1" x14ac:dyDescent="0.3">
      <c r="B60" s="5">
        <v>48</v>
      </c>
      <c r="C60" s="38"/>
      <c r="D60" s="38"/>
      <c r="E60" s="38"/>
      <c r="F60" s="38"/>
      <c r="G60" s="39"/>
      <c r="H60" s="40"/>
      <c r="I60" s="40"/>
      <c r="J60" s="40"/>
      <c r="K60" s="40"/>
      <c r="L60" s="40"/>
      <c r="M60" s="38"/>
    </row>
    <row r="61" spans="2:13" s="7" customFormat="1" x14ac:dyDescent="0.3">
      <c r="B61" s="5">
        <v>49</v>
      </c>
      <c r="C61" s="38"/>
      <c r="D61" s="38"/>
      <c r="E61" s="38"/>
      <c r="F61" s="38"/>
      <c r="G61" s="39"/>
      <c r="H61" s="40"/>
      <c r="I61" s="40"/>
      <c r="J61" s="40"/>
      <c r="K61" s="40"/>
      <c r="L61" s="40"/>
      <c r="M61" s="38"/>
    </row>
    <row r="62" spans="2:13" s="7" customFormat="1" x14ac:dyDescent="0.3">
      <c r="B62" s="5">
        <v>50</v>
      </c>
      <c r="C62" s="38"/>
      <c r="D62" s="38"/>
      <c r="E62" s="38"/>
      <c r="F62" s="38"/>
      <c r="G62" s="39"/>
      <c r="H62" s="40"/>
      <c r="I62" s="40"/>
      <c r="J62" s="40"/>
      <c r="K62" s="40"/>
      <c r="L62" s="40"/>
      <c r="M62" s="38"/>
    </row>
    <row r="63" spans="2:13" s="7" customFormat="1" x14ac:dyDescent="0.3">
      <c r="B63" s="5">
        <v>51</v>
      </c>
      <c r="C63" s="38"/>
      <c r="D63" s="38"/>
      <c r="E63" s="38"/>
      <c r="F63" s="38"/>
      <c r="G63" s="39"/>
      <c r="H63" s="40"/>
      <c r="I63" s="40"/>
      <c r="J63" s="40"/>
      <c r="K63" s="40"/>
      <c r="L63" s="40"/>
      <c r="M63" s="38"/>
    </row>
    <row r="64" spans="2:13" s="7" customFormat="1" x14ac:dyDescent="0.3">
      <c r="B64" s="5">
        <v>52</v>
      </c>
      <c r="C64" s="38"/>
      <c r="D64" s="38"/>
      <c r="E64" s="38"/>
      <c r="F64" s="38"/>
      <c r="G64" s="39"/>
      <c r="H64" s="40"/>
      <c r="I64" s="40"/>
      <c r="J64" s="40"/>
      <c r="K64" s="40"/>
      <c r="L64" s="40"/>
      <c r="M64" s="38"/>
    </row>
    <row r="65" spans="2:13" s="7" customFormat="1" x14ac:dyDescent="0.3">
      <c r="B65" s="5">
        <v>53</v>
      </c>
      <c r="C65" s="38"/>
      <c r="D65" s="38"/>
      <c r="E65" s="38"/>
      <c r="F65" s="38"/>
      <c r="G65" s="39"/>
      <c r="H65" s="40"/>
      <c r="I65" s="40"/>
      <c r="J65" s="40"/>
      <c r="K65" s="40"/>
      <c r="L65" s="40"/>
      <c r="M65" s="38"/>
    </row>
    <row r="66" spans="2:13" s="7" customFormat="1" x14ac:dyDescent="0.3">
      <c r="B66" s="5">
        <v>54</v>
      </c>
      <c r="C66" s="38"/>
      <c r="D66" s="38"/>
      <c r="E66" s="38"/>
      <c r="F66" s="38"/>
      <c r="G66" s="39"/>
      <c r="H66" s="40"/>
      <c r="I66" s="40"/>
      <c r="J66" s="40"/>
      <c r="K66" s="40"/>
      <c r="L66" s="40"/>
      <c r="M66" s="38"/>
    </row>
    <row r="67" spans="2:13" s="7" customFormat="1" x14ac:dyDescent="0.3">
      <c r="B67" s="5">
        <v>55</v>
      </c>
      <c r="C67" s="38"/>
      <c r="D67" s="38"/>
      <c r="E67" s="38"/>
      <c r="F67" s="38"/>
      <c r="G67" s="39"/>
      <c r="H67" s="40"/>
      <c r="I67" s="40"/>
      <c r="J67" s="40"/>
      <c r="K67" s="40"/>
      <c r="L67" s="40"/>
      <c r="M67" s="38"/>
    </row>
    <row r="68" spans="2:13" s="7" customFormat="1" x14ac:dyDescent="0.3">
      <c r="B68" s="5">
        <v>56</v>
      </c>
      <c r="C68" s="38"/>
      <c r="D68" s="38"/>
      <c r="E68" s="38"/>
      <c r="F68" s="38"/>
      <c r="G68" s="39"/>
      <c r="H68" s="40"/>
      <c r="I68" s="40"/>
      <c r="J68" s="40"/>
      <c r="K68" s="40"/>
      <c r="L68" s="40"/>
      <c r="M68" s="38"/>
    </row>
    <row r="69" spans="2:13" s="7" customFormat="1" x14ac:dyDescent="0.3">
      <c r="B69" s="5">
        <v>57</v>
      </c>
      <c r="C69" s="38"/>
      <c r="D69" s="38"/>
      <c r="E69" s="38"/>
      <c r="F69" s="38"/>
      <c r="G69" s="39"/>
      <c r="H69" s="40"/>
      <c r="I69" s="40"/>
      <c r="J69" s="40"/>
      <c r="K69" s="40"/>
      <c r="L69" s="40"/>
      <c r="M69" s="38"/>
    </row>
    <row r="70" spans="2:13" s="7" customFormat="1" x14ac:dyDescent="0.3">
      <c r="B70" s="5">
        <v>58</v>
      </c>
      <c r="C70" s="38"/>
      <c r="D70" s="38"/>
      <c r="E70" s="38"/>
      <c r="F70" s="38"/>
      <c r="G70" s="39"/>
      <c r="H70" s="40"/>
      <c r="I70" s="40"/>
      <c r="J70" s="40"/>
      <c r="K70" s="40"/>
      <c r="L70" s="40"/>
      <c r="M70" s="38"/>
    </row>
    <row r="71" spans="2:13" s="7" customFormat="1" x14ac:dyDescent="0.3">
      <c r="B71" s="5">
        <v>59</v>
      </c>
      <c r="C71" s="38"/>
      <c r="D71" s="38"/>
      <c r="E71" s="38"/>
      <c r="F71" s="38"/>
      <c r="G71" s="39"/>
      <c r="H71" s="40"/>
      <c r="I71" s="40"/>
      <c r="J71" s="40"/>
      <c r="K71" s="40"/>
      <c r="L71" s="40"/>
      <c r="M71" s="38"/>
    </row>
    <row r="72" spans="2:13" s="7" customFormat="1" x14ac:dyDescent="0.3">
      <c r="B72" s="5">
        <v>60</v>
      </c>
      <c r="C72" s="38"/>
      <c r="D72" s="38"/>
      <c r="E72" s="38"/>
      <c r="F72" s="38"/>
      <c r="G72" s="39"/>
      <c r="H72" s="40"/>
      <c r="I72" s="40"/>
      <c r="J72" s="40"/>
      <c r="K72" s="40"/>
      <c r="L72" s="40"/>
      <c r="M72" s="38"/>
    </row>
    <row r="73" spans="2:13" s="7" customFormat="1" x14ac:dyDescent="0.3">
      <c r="B73" s="5">
        <v>61</v>
      </c>
      <c r="C73" s="38"/>
      <c r="D73" s="38"/>
      <c r="E73" s="38"/>
      <c r="F73" s="38"/>
      <c r="G73" s="39"/>
      <c r="H73" s="40"/>
      <c r="I73" s="40"/>
      <c r="J73" s="40"/>
      <c r="K73" s="40"/>
      <c r="L73" s="40"/>
      <c r="M73" s="38"/>
    </row>
    <row r="74" spans="2:13" s="7" customFormat="1" x14ac:dyDescent="0.3">
      <c r="B74" s="5">
        <v>62</v>
      </c>
      <c r="C74" s="38"/>
      <c r="D74" s="38"/>
      <c r="E74" s="38"/>
      <c r="F74" s="38"/>
      <c r="G74" s="39"/>
      <c r="H74" s="40"/>
      <c r="I74" s="40"/>
      <c r="J74" s="40"/>
      <c r="K74" s="40"/>
      <c r="L74" s="40"/>
      <c r="M74" s="38"/>
    </row>
    <row r="75" spans="2:13" s="7" customFormat="1" x14ac:dyDescent="0.3">
      <c r="B75" s="5">
        <v>63</v>
      </c>
      <c r="C75" s="38"/>
      <c r="D75" s="38"/>
      <c r="E75" s="38"/>
      <c r="F75" s="38"/>
      <c r="G75" s="39"/>
      <c r="H75" s="40"/>
      <c r="I75" s="40"/>
      <c r="J75" s="40"/>
      <c r="K75" s="40"/>
      <c r="L75" s="40"/>
      <c r="M75" s="38"/>
    </row>
    <row r="76" spans="2:13" s="7" customFormat="1" x14ac:dyDescent="0.3">
      <c r="B76" s="5">
        <v>64</v>
      </c>
      <c r="C76" s="38"/>
      <c r="D76" s="38"/>
      <c r="E76" s="38"/>
      <c r="F76" s="38"/>
      <c r="G76" s="39"/>
      <c r="H76" s="40"/>
      <c r="I76" s="40"/>
      <c r="J76" s="40"/>
      <c r="K76" s="40"/>
      <c r="L76" s="40"/>
      <c r="M76" s="38"/>
    </row>
    <row r="77" spans="2:13" s="7" customFormat="1" x14ac:dyDescent="0.3">
      <c r="B77" s="5">
        <v>65</v>
      </c>
      <c r="C77" s="38"/>
      <c r="D77" s="38"/>
      <c r="E77" s="38"/>
      <c r="F77" s="38"/>
      <c r="G77" s="39"/>
      <c r="H77" s="40"/>
      <c r="I77" s="40"/>
      <c r="J77" s="40"/>
      <c r="K77" s="40"/>
      <c r="L77" s="40"/>
      <c r="M77" s="38"/>
    </row>
    <row r="78" spans="2:13" s="7" customFormat="1" x14ac:dyDescent="0.3">
      <c r="B78" s="5">
        <v>66</v>
      </c>
      <c r="C78" s="38"/>
      <c r="D78" s="38"/>
      <c r="E78" s="38"/>
      <c r="F78" s="38"/>
      <c r="G78" s="39"/>
      <c r="H78" s="40"/>
      <c r="I78" s="40"/>
      <c r="J78" s="40"/>
      <c r="K78" s="40"/>
      <c r="L78" s="40"/>
      <c r="M78" s="38"/>
    </row>
    <row r="79" spans="2:13" s="7" customFormat="1" x14ac:dyDescent="0.3">
      <c r="B79" s="5">
        <v>67</v>
      </c>
      <c r="C79" s="38"/>
      <c r="D79" s="38"/>
      <c r="E79" s="38"/>
      <c r="F79" s="38"/>
      <c r="G79" s="39"/>
      <c r="H79" s="40"/>
      <c r="I79" s="40"/>
      <c r="J79" s="40"/>
      <c r="K79" s="40"/>
      <c r="L79" s="40"/>
      <c r="M79" s="38"/>
    </row>
    <row r="80" spans="2:13" s="7" customFormat="1" x14ac:dyDescent="0.3">
      <c r="B80" s="5">
        <v>68</v>
      </c>
      <c r="C80" s="38"/>
      <c r="D80" s="38"/>
      <c r="E80" s="38"/>
      <c r="F80" s="38"/>
      <c r="G80" s="39"/>
      <c r="H80" s="40"/>
      <c r="I80" s="40"/>
      <c r="J80" s="40"/>
      <c r="K80" s="40"/>
      <c r="L80" s="40"/>
      <c r="M80" s="38"/>
    </row>
  </sheetData>
  <sheetProtection password="C2E9" sheet="1" objects="1" scenarios="1" formatColumns="0" formatRows="0" sort="0" autoFilter="0"/>
  <mergeCells count="2">
    <mergeCell ref="B9:E9"/>
    <mergeCell ref="B8:E8"/>
  </mergeCells>
  <dataValidations count="2">
    <dataValidation type="decimal" operator="greaterThanOrEqual" allowBlank="1" showInputMessage="1" showErrorMessage="1" sqref="J13:L80 H13:I380">
      <formula1>0</formula1>
    </dataValidation>
    <dataValidation type="date" operator="greaterThan" allowBlank="1" showInputMessage="1" showErrorMessage="1" sqref="G13:G8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123825</xdr:colOff>
                    <xdr:row>12</xdr:row>
                    <xdr:rowOff>28575</xdr:rowOff>
                  </from>
                  <to>
                    <xdr:col>1</xdr:col>
                    <xdr:colOff>1209675</xdr:colOff>
                    <xdr:row>12</xdr:row>
                    <xdr:rowOff>209550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1276350</xdr:colOff>
                    <xdr:row>12</xdr:row>
                    <xdr:rowOff>28575</xdr:rowOff>
                  </from>
                  <to>
                    <xdr:col>1</xdr:col>
                    <xdr:colOff>2362200</xdr:colOff>
                    <xdr:row>12</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78"/>
  <sheetViews>
    <sheetView showGridLines="0" topLeftCell="E3" zoomScale="90" zoomScaleNormal="90" workbookViewId="0">
      <selection activeCell="K15" sqref="K15"/>
    </sheetView>
  </sheetViews>
  <sheetFormatPr defaultColWidth="8.7109375" defaultRowHeight="16.5" outlineLevelRow="1" x14ac:dyDescent="0.3"/>
  <cols>
    <col min="1" max="1" width="4.5703125" style="1" customWidth="1"/>
    <col min="2" max="2" width="25.5703125" style="7" customWidth="1"/>
    <col min="3" max="3" width="11.7109375" style="1" customWidth="1"/>
    <col min="4" max="5" width="34.5703125" style="1" customWidth="1"/>
    <col min="6" max="6" width="39.7109375" style="2" customWidth="1"/>
    <col min="7" max="7" width="18.5703125" style="1" bestFit="1" customWidth="1"/>
    <col min="8" max="8" width="25.85546875" style="1" customWidth="1"/>
    <col min="9" max="9" width="25.85546875" style="7" customWidth="1"/>
    <col min="10" max="11" width="17.42578125" style="1" customWidth="1"/>
    <col min="12" max="16384" width="8.710937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63</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8.25"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c r="D14" s="68" t="s">
        <v>123</v>
      </c>
      <c r="E14" s="71" t="s">
        <v>220</v>
      </c>
      <c r="F14" s="38" t="s">
        <v>164</v>
      </c>
      <c r="G14" s="39">
        <v>41737</v>
      </c>
      <c r="H14" s="40">
        <v>16000</v>
      </c>
      <c r="I14" s="68">
        <v>2</v>
      </c>
      <c r="J14" s="40">
        <v>16000</v>
      </c>
      <c r="K14" s="40">
        <v>2285.7142857142858</v>
      </c>
      <c r="L14" s="40">
        <v>7</v>
      </c>
      <c r="M14" s="38"/>
    </row>
    <row r="15" spans="2:122" s="7" customFormat="1" x14ac:dyDescent="0.3">
      <c r="B15" s="5">
        <v>2</v>
      </c>
      <c r="C15" s="38"/>
      <c r="D15" s="68" t="s">
        <v>129</v>
      </c>
      <c r="E15" s="72" t="s">
        <v>219</v>
      </c>
      <c r="F15" s="38" t="s">
        <v>164</v>
      </c>
      <c r="G15" s="39">
        <v>42455</v>
      </c>
      <c r="H15" s="40">
        <v>5000</v>
      </c>
      <c r="I15" s="68">
        <v>1</v>
      </c>
      <c r="J15" s="40">
        <v>5000</v>
      </c>
      <c r="K15" s="40">
        <v>1000</v>
      </c>
      <c r="L15" s="40">
        <v>5</v>
      </c>
      <c r="M15" s="38"/>
    </row>
    <row r="16" spans="2:122" s="7" customFormat="1" x14ac:dyDescent="0.3">
      <c r="B16" s="5">
        <v>3</v>
      </c>
      <c r="C16" s="38"/>
      <c r="D16" s="68" t="s">
        <v>119</v>
      </c>
      <c r="E16" s="38" t="s">
        <v>221</v>
      </c>
      <c r="F16" s="38" t="s">
        <v>164</v>
      </c>
      <c r="G16" s="39">
        <v>42395</v>
      </c>
      <c r="H16" s="40">
        <v>600</v>
      </c>
      <c r="I16" s="68">
        <v>1</v>
      </c>
      <c r="J16" s="40">
        <v>600</v>
      </c>
      <c r="K16" s="40">
        <v>100</v>
      </c>
      <c r="L16" s="40">
        <v>6</v>
      </c>
      <c r="M16" s="38"/>
    </row>
    <row r="17" spans="2:13" s="7" customFormat="1" x14ac:dyDescent="0.3">
      <c r="B17" s="5">
        <v>4</v>
      </c>
      <c r="C17" s="38"/>
      <c r="D17" s="68" t="s">
        <v>150</v>
      </c>
      <c r="E17" s="38" t="s">
        <v>222</v>
      </c>
      <c r="F17" s="38" t="s">
        <v>164</v>
      </c>
      <c r="G17" s="39">
        <v>43091</v>
      </c>
      <c r="H17" s="40">
        <v>150</v>
      </c>
      <c r="I17" s="68">
        <v>1</v>
      </c>
      <c r="J17" s="40">
        <v>150</v>
      </c>
      <c r="K17" s="40">
        <v>37.5</v>
      </c>
      <c r="L17" s="40">
        <v>4</v>
      </c>
      <c r="M17" s="38"/>
    </row>
    <row r="18" spans="2:13" s="7" customFormat="1" x14ac:dyDescent="0.3">
      <c r="B18" s="5">
        <v>5</v>
      </c>
      <c r="C18" s="38"/>
      <c r="D18" s="68" t="s">
        <v>121</v>
      </c>
      <c r="E18" s="38" t="s">
        <v>223</v>
      </c>
      <c r="F18" s="38" t="s">
        <v>164</v>
      </c>
      <c r="G18" s="39">
        <v>42221</v>
      </c>
      <c r="H18" s="40">
        <v>2000</v>
      </c>
      <c r="I18" s="68">
        <v>1</v>
      </c>
      <c r="J18" s="40">
        <v>2000</v>
      </c>
      <c r="K18" s="40">
        <v>285.71428571428572</v>
      </c>
      <c r="L18" s="40">
        <v>7</v>
      </c>
      <c r="M18" s="38"/>
    </row>
    <row r="19" spans="2:13" s="7" customFormat="1" x14ac:dyDescent="0.3">
      <c r="B19" s="5">
        <v>6</v>
      </c>
      <c r="C19" s="38"/>
      <c r="D19" s="68" t="s">
        <v>127</v>
      </c>
      <c r="E19" s="38" t="s">
        <v>224</v>
      </c>
      <c r="F19" s="38" t="s">
        <v>164</v>
      </c>
      <c r="G19" s="39">
        <v>42242</v>
      </c>
      <c r="H19" s="40">
        <v>200</v>
      </c>
      <c r="I19" s="68">
        <v>1</v>
      </c>
      <c r="J19" s="40">
        <v>200</v>
      </c>
      <c r="K19" s="40">
        <v>40</v>
      </c>
      <c r="L19" s="40">
        <v>5</v>
      </c>
      <c r="M19" s="38"/>
    </row>
    <row r="20" spans="2:13" s="7" customFormat="1" x14ac:dyDescent="0.3">
      <c r="B20" s="5">
        <v>7</v>
      </c>
      <c r="C20" s="38"/>
      <c r="D20" s="68" t="s">
        <v>152</v>
      </c>
      <c r="E20" s="38" t="s">
        <v>225</v>
      </c>
      <c r="F20" s="38" t="s">
        <v>164</v>
      </c>
      <c r="G20" s="39">
        <v>42243</v>
      </c>
      <c r="H20" s="40">
        <v>6000</v>
      </c>
      <c r="I20" s="68">
        <v>3</v>
      </c>
      <c r="J20" s="40">
        <v>6000</v>
      </c>
      <c r="K20" s="40">
        <v>750</v>
      </c>
      <c r="L20" s="40">
        <v>8</v>
      </c>
      <c r="M20" s="38"/>
    </row>
    <row r="21" spans="2:13" s="7" customFormat="1" x14ac:dyDescent="0.3">
      <c r="B21" s="5">
        <v>8</v>
      </c>
      <c r="C21" s="38"/>
      <c r="D21" s="68" t="s">
        <v>142</v>
      </c>
      <c r="E21" s="38" t="s">
        <v>226</v>
      </c>
      <c r="F21" s="38" t="s">
        <v>164</v>
      </c>
      <c r="G21" s="39">
        <v>42244</v>
      </c>
      <c r="H21" s="40">
        <v>5000</v>
      </c>
      <c r="I21" s="68">
        <v>1</v>
      </c>
      <c r="J21" s="40">
        <v>5000</v>
      </c>
      <c r="K21" s="40">
        <v>833.33333333333337</v>
      </c>
      <c r="L21" s="40">
        <v>6</v>
      </c>
      <c r="M21" s="38"/>
    </row>
    <row r="22" spans="2:13" s="7" customFormat="1" x14ac:dyDescent="0.3">
      <c r="B22" s="5">
        <v>9</v>
      </c>
      <c r="C22" s="38"/>
      <c r="D22" s="68" t="s">
        <v>151</v>
      </c>
      <c r="E22" s="38" t="s">
        <v>230</v>
      </c>
      <c r="F22" s="38" t="s">
        <v>164</v>
      </c>
      <c r="G22" s="39">
        <v>40223</v>
      </c>
      <c r="H22" s="40">
        <v>8000</v>
      </c>
      <c r="I22" s="68">
        <v>1</v>
      </c>
      <c r="J22" s="40">
        <v>8000</v>
      </c>
      <c r="K22" s="40">
        <v>1000</v>
      </c>
      <c r="L22" s="40">
        <v>8</v>
      </c>
      <c r="M22" s="38"/>
    </row>
    <row r="23" spans="2:13" s="7" customFormat="1" x14ac:dyDescent="0.3">
      <c r="B23" s="5">
        <v>10</v>
      </c>
      <c r="C23" s="38"/>
      <c r="D23" s="68" t="s">
        <v>122</v>
      </c>
      <c r="E23" s="38" t="s">
        <v>227</v>
      </c>
      <c r="F23" s="38" t="s">
        <v>164</v>
      </c>
      <c r="G23" s="39">
        <v>40658</v>
      </c>
      <c r="H23" s="40">
        <v>500</v>
      </c>
      <c r="I23" s="68">
        <v>3</v>
      </c>
      <c r="J23" s="40">
        <v>500</v>
      </c>
      <c r="K23" s="40">
        <v>62.5</v>
      </c>
      <c r="L23" s="40">
        <v>8</v>
      </c>
      <c r="M23" s="38"/>
    </row>
    <row r="24" spans="2:13" s="7" customFormat="1" x14ac:dyDescent="0.3">
      <c r="B24" s="5">
        <v>11</v>
      </c>
      <c r="C24" s="38"/>
      <c r="D24" s="68" t="s">
        <v>141</v>
      </c>
      <c r="E24" s="38" t="s">
        <v>228</v>
      </c>
      <c r="F24" s="38" t="s">
        <v>164</v>
      </c>
      <c r="G24" s="39">
        <v>41368</v>
      </c>
      <c r="H24" s="40">
        <v>1500</v>
      </c>
      <c r="I24" s="68">
        <v>1</v>
      </c>
      <c r="J24" s="40">
        <v>1500</v>
      </c>
      <c r="K24" s="40">
        <v>187.5</v>
      </c>
      <c r="L24" s="40">
        <v>8</v>
      </c>
      <c r="M24" s="38"/>
    </row>
    <row r="25" spans="2:13" s="7" customFormat="1" x14ac:dyDescent="0.3">
      <c r="B25" s="5">
        <v>12</v>
      </c>
      <c r="C25" s="38"/>
      <c r="D25" s="68" t="s">
        <v>149</v>
      </c>
      <c r="E25" s="38" t="s">
        <v>229</v>
      </c>
      <c r="F25" s="38" t="s">
        <v>164</v>
      </c>
      <c r="G25" s="39">
        <v>42428</v>
      </c>
      <c r="H25" s="40">
        <v>1000</v>
      </c>
      <c r="I25" s="68">
        <v>1</v>
      </c>
      <c r="J25" s="40">
        <v>1000</v>
      </c>
      <c r="K25" s="40">
        <v>142.85714285714286</v>
      </c>
      <c r="L25" s="40">
        <v>7</v>
      </c>
      <c r="M25" s="38"/>
    </row>
    <row r="26" spans="2:13" s="7" customFormat="1" x14ac:dyDescent="0.3">
      <c r="B26" s="5">
        <v>13</v>
      </c>
      <c r="C26" s="38"/>
      <c r="D26" s="68" t="s">
        <v>142</v>
      </c>
      <c r="E26" s="38" t="s">
        <v>226</v>
      </c>
      <c r="F26" s="38" t="s">
        <v>165</v>
      </c>
      <c r="G26" s="39">
        <v>40980</v>
      </c>
      <c r="H26" s="40">
        <v>5000</v>
      </c>
      <c r="I26" s="68">
        <v>2</v>
      </c>
      <c r="J26" s="40">
        <v>5000</v>
      </c>
      <c r="K26" s="40">
        <v>833.33333333333337</v>
      </c>
      <c r="L26" s="40">
        <v>6</v>
      </c>
      <c r="M26" s="38"/>
    </row>
    <row r="27" spans="2:13" s="7" customFormat="1" x14ac:dyDescent="0.3">
      <c r="B27" s="5">
        <v>14</v>
      </c>
      <c r="C27" s="38"/>
      <c r="D27" s="68" t="s">
        <v>151</v>
      </c>
      <c r="E27" s="38" t="s">
        <v>230</v>
      </c>
      <c r="F27" s="38" t="s">
        <v>165</v>
      </c>
      <c r="G27" s="39">
        <v>41754</v>
      </c>
      <c r="H27" s="40">
        <v>8000</v>
      </c>
      <c r="I27" s="68">
        <v>1</v>
      </c>
      <c r="J27" s="40">
        <v>8000</v>
      </c>
      <c r="K27" s="40">
        <v>1000</v>
      </c>
      <c r="L27" s="40">
        <v>8</v>
      </c>
      <c r="M27" s="38"/>
    </row>
    <row r="28" spans="2:13" s="7" customFormat="1" x14ac:dyDescent="0.3">
      <c r="B28" s="5">
        <v>15</v>
      </c>
      <c r="C28" s="38"/>
      <c r="D28" s="68" t="s">
        <v>123</v>
      </c>
      <c r="E28" s="38" t="s">
        <v>220</v>
      </c>
      <c r="F28" s="38" t="s">
        <v>165</v>
      </c>
      <c r="G28" s="39">
        <v>42914</v>
      </c>
      <c r="H28" s="40">
        <v>16000</v>
      </c>
      <c r="I28" s="68">
        <v>2</v>
      </c>
      <c r="J28" s="40">
        <v>16000</v>
      </c>
      <c r="K28" s="40">
        <v>2000</v>
      </c>
      <c r="L28" s="40">
        <v>8</v>
      </c>
      <c r="M28" s="38"/>
    </row>
    <row r="29" spans="2:13" s="7" customFormat="1" x14ac:dyDescent="0.3">
      <c r="B29" s="5">
        <v>16</v>
      </c>
      <c r="C29" s="38"/>
      <c r="D29" s="68" t="s">
        <v>116</v>
      </c>
      <c r="E29" s="38" t="s">
        <v>231</v>
      </c>
      <c r="F29" s="38" t="s">
        <v>165</v>
      </c>
      <c r="G29" s="39">
        <v>42627</v>
      </c>
      <c r="H29" s="40">
        <v>15000</v>
      </c>
      <c r="I29" s="68">
        <v>1</v>
      </c>
      <c r="J29" s="40">
        <v>15000</v>
      </c>
      <c r="K29" s="40">
        <v>2142.8571428571427</v>
      </c>
      <c r="L29" s="40">
        <v>7</v>
      </c>
      <c r="M29" s="38"/>
    </row>
    <row r="30" spans="2:13" s="7" customFormat="1" x14ac:dyDescent="0.3">
      <c r="B30" s="5">
        <v>17</v>
      </c>
      <c r="C30" s="38"/>
      <c r="D30" s="68" t="s">
        <v>148</v>
      </c>
      <c r="E30" s="38" t="s">
        <v>232</v>
      </c>
      <c r="F30" s="38" t="s">
        <v>165</v>
      </c>
      <c r="G30" s="39">
        <v>42879</v>
      </c>
      <c r="H30" s="40">
        <v>15000</v>
      </c>
      <c r="I30" s="68">
        <v>1</v>
      </c>
      <c r="J30" s="40">
        <v>15000</v>
      </c>
      <c r="K30" s="40">
        <v>2142.8571428571427</v>
      </c>
      <c r="L30" s="40">
        <v>7</v>
      </c>
      <c r="M30" s="38"/>
    </row>
    <row r="31" spans="2:13" s="7" customFormat="1" x14ac:dyDescent="0.3">
      <c r="B31" s="5">
        <v>18</v>
      </c>
      <c r="C31" s="38"/>
      <c r="D31" s="68" t="s">
        <v>124</v>
      </c>
      <c r="E31" s="38" t="s">
        <v>223</v>
      </c>
      <c r="F31" s="38" t="s">
        <v>165</v>
      </c>
      <c r="G31" s="39">
        <v>41737</v>
      </c>
      <c r="H31" s="40">
        <v>1500</v>
      </c>
      <c r="I31" s="68">
        <v>1</v>
      </c>
      <c r="J31" s="40">
        <v>1500</v>
      </c>
      <c r="K31" s="40">
        <v>187.5</v>
      </c>
      <c r="L31" s="40">
        <v>8</v>
      </c>
      <c r="M31" s="38"/>
    </row>
    <row r="32" spans="2:13" s="7" customFormat="1" x14ac:dyDescent="0.3">
      <c r="B32" s="5">
        <v>19</v>
      </c>
      <c r="C32" s="38"/>
      <c r="D32" s="68" t="s">
        <v>136</v>
      </c>
      <c r="E32" s="38" t="s">
        <v>219</v>
      </c>
      <c r="F32" s="38" t="s">
        <v>165</v>
      </c>
      <c r="G32" s="39">
        <v>42455</v>
      </c>
      <c r="H32" s="40">
        <v>4500</v>
      </c>
      <c r="I32" s="68">
        <v>1</v>
      </c>
      <c r="J32" s="40">
        <v>4500</v>
      </c>
      <c r="K32" s="40">
        <v>750</v>
      </c>
      <c r="L32" s="40">
        <v>6</v>
      </c>
      <c r="M32" s="38"/>
    </row>
    <row r="33" spans="2:13" s="7" customFormat="1" x14ac:dyDescent="0.3">
      <c r="B33" s="5">
        <v>20</v>
      </c>
      <c r="C33" s="38"/>
      <c r="D33" s="68" t="s">
        <v>120</v>
      </c>
      <c r="E33" s="38" t="s">
        <v>233</v>
      </c>
      <c r="F33" s="38" t="s">
        <v>165</v>
      </c>
      <c r="G33" s="39">
        <v>42395</v>
      </c>
      <c r="H33" s="40">
        <v>10000</v>
      </c>
      <c r="I33" s="68">
        <v>1</v>
      </c>
      <c r="J33" s="40">
        <v>10000</v>
      </c>
      <c r="K33" s="40">
        <v>1666.6666666666667</v>
      </c>
      <c r="L33" s="40">
        <v>6</v>
      </c>
      <c r="M33" s="38"/>
    </row>
    <row r="34" spans="2:13" s="7" customFormat="1" x14ac:dyDescent="0.3">
      <c r="B34" s="5">
        <v>21</v>
      </c>
      <c r="C34" s="38"/>
      <c r="D34" s="68" t="s">
        <v>153</v>
      </c>
      <c r="E34" s="38" t="s">
        <v>234</v>
      </c>
      <c r="F34" s="38" t="s">
        <v>165</v>
      </c>
      <c r="G34" s="39">
        <v>43091</v>
      </c>
      <c r="H34" s="40">
        <v>2500</v>
      </c>
      <c r="I34" s="68">
        <v>1</v>
      </c>
      <c r="J34" s="40">
        <v>2500</v>
      </c>
      <c r="K34" s="40">
        <v>416.66666666666669</v>
      </c>
      <c r="L34" s="40">
        <v>6</v>
      </c>
      <c r="M34" s="38"/>
    </row>
    <row r="35" spans="2:13" s="7" customFormat="1" x14ac:dyDescent="0.3">
      <c r="B35" s="5">
        <v>22</v>
      </c>
      <c r="C35" s="38"/>
      <c r="D35" s="68" t="s">
        <v>156</v>
      </c>
      <c r="E35" s="38" t="s">
        <v>235</v>
      </c>
      <c r="F35" s="38" t="s">
        <v>165</v>
      </c>
      <c r="G35" s="39">
        <v>42221</v>
      </c>
      <c r="H35" s="40">
        <v>15000</v>
      </c>
      <c r="I35" s="68">
        <v>1</v>
      </c>
      <c r="J35" s="40">
        <v>15000</v>
      </c>
      <c r="K35" s="40">
        <v>1875</v>
      </c>
      <c r="L35" s="40">
        <v>8</v>
      </c>
      <c r="M35" s="38"/>
    </row>
    <row r="36" spans="2:13" s="7" customFormat="1" x14ac:dyDescent="0.3">
      <c r="B36" s="5">
        <v>23</v>
      </c>
      <c r="C36" s="38"/>
      <c r="D36" s="68" t="s">
        <v>131</v>
      </c>
      <c r="E36" s="38" t="s">
        <v>236</v>
      </c>
      <c r="F36" s="38" t="s">
        <v>165</v>
      </c>
      <c r="G36" s="39">
        <v>42242</v>
      </c>
      <c r="H36" s="40">
        <v>500</v>
      </c>
      <c r="I36" s="68">
        <v>1</v>
      </c>
      <c r="J36" s="40">
        <v>500</v>
      </c>
      <c r="K36" s="40">
        <v>100</v>
      </c>
      <c r="L36" s="40">
        <v>5</v>
      </c>
      <c r="M36" s="38"/>
    </row>
    <row r="37" spans="2:13" s="7" customFormat="1" x14ac:dyDescent="0.3">
      <c r="B37" s="5">
        <v>24</v>
      </c>
      <c r="C37" s="38"/>
      <c r="D37" s="68" t="s">
        <v>119</v>
      </c>
      <c r="E37" s="38" t="s">
        <v>221</v>
      </c>
      <c r="F37" s="38" t="s">
        <v>165</v>
      </c>
      <c r="G37" s="39">
        <v>42243</v>
      </c>
      <c r="H37" s="40">
        <v>300</v>
      </c>
      <c r="I37" s="68">
        <v>2</v>
      </c>
      <c r="J37" s="40">
        <v>300</v>
      </c>
      <c r="K37" s="40">
        <v>75</v>
      </c>
      <c r="L37" s="40">
        <v>4</v>
      </c>
      <c r="M37" s="38"/>
    </row>
    <row r="38" spans="2:13" s="7" customFormat="1" x14ac:dyDescent="0.3">
      <c r="B38" s="5">
        <v>25</v>
      </c>
      <c r="C38" s="38"/>
      <c r="D38" s="68" t="s">
        <v>150</v>
      </c>
      <c r="E38" s="38" t="s">
        <v>222</v>
      </c>
      <c r="F38" s="38" t="s">
        <v>165</v>
      </c>
      <c r="G38" s="39">
        <v>42244</v>
      </c>
      <c r="H38" s="40">
        <v>250</v>
      </c>
      <c r="I38" s="68">
        <v>1</v>
      </c>
      <c r="J38" s="40">
        <v>250</v>
      </c>
      <c r="K38" s="40">
        <v>50</v>
      </c>
      <c r="L38" s="40">
        <v>5</v>
      </c>
      <c r="M38" s="38"/>
    </row>
    <row r="39" spans="2:13" s="7" customFormat="1" x14ac:dyDescent="0.3">
      <c r="B39" s="5">
        <v>26</v>
      </c>
      <c r="C39" s="38"/>
      <c r="D39" s="68" t="s">
        <v>147</v>
      </c>
      <c r="E39" s="38" t="s">
        <v>237</v>
      </c>
      <c r="F39" s="38" t="s">
        <v>165</v>
      </c>
      <c r="G39" s="39">
        <v>40223</v>
      </c>
      <c r="H39" s="40">
        <v>250</v>
      </c>
      <c r="I39" s="68">
        <v>1</v>
      </c>
      <c r="J39" s="40">
        <v>250</v>
      </c>
      <c r="K39" s="40">
        <v>50</v>
      </c>
      <c r="L39" s="40">
        <v>5</v>
      </c>
      <c r="M39" s="38"/>
    </row>
    <row r="40" spans="2:13" s="7" customFormat="1" x14ac:dyDescent="0.3">
      <c r="B40" s="5">
        <v>27</v>
      </c>
      <c r="C40" s="38"/>
      <c r="D40" s="68" t="s">
        <v>143</v>
      </c>
      <c r="E40" s="38" t="s">
        <v>237</v>
      </c>
      <c r="F40" s="38" t="s">
        <v>165</v>
      </c>
      <c r="G40" s="39">
        <v>40658</v>
      </c>
      <c r="H40" s="40">
        <v>5000</v>
      </c>
      <c r="I40" s="68">
        <v>1</v>
      </c>
      <c r="J40" s="40">
        <v>5000</v>
      </c>
      <c r="K40" s="40">
        <v>1000</v>
      </c>
      <c r="L40" s="40">
        <v>5</v>
      </c>
      <c r="M40" s="38"/>
    </row>
    <row r="41" spans="2:13" s="7" customFormat="1" x14ac:dyDescent="0.3">
      <c r="B41" s="5">
        <v>28</v>
      </c>
      <c r="C41" s="38"/>
      <c r="D41" s="68" t="s">
        <v>159</v>
      </c>
      <c r="E41" s="38" t="s">
        <v>223</v>
      </c>
      <c r="F41" s="38" t="s">
        <v>166</v>
      </c>
      <c r="G41" s="39">
        <v>41368</v>
      </c>
      <c r="H41" s="40">
        <v>2500</v>
      </c>
      <c r="I41" s="68">
        <v>1</v>
      </c>
      <c r="J41" s="40">
        <v>2500</v>
      </c>
      <c r="K41" s="40">
        <v>500</v>
      </c>
      <c r="L41" s="40">
        <v>5</v>
      </c>
      <c r="M41" s="38"/>
    </row>
    <row r="42" spans="2:13" s="7" customFormat="1" x14ac:dyDescent="0.3">
      <c r="B42" s="5">
        <v>29</v>
      </c>
      <c r="C42" s="38"/>
      <c r="D42" s="68" t="s">
        <v>121</v>
      </c>
      <c r="E42" s="38" t="s">
        <v>223</v>
      </c>
      <c r="F42" s="38" t="s">
        <v>166</v>
      </c>
      <c r="G42" s="39">
        <v>42428</v>
      </c>
      <c r="H42" s="40">
        <v>2500</v>
      </c>
      <c r="I42" s="68">
        <v>1</v>
      </c>
      <c r="J42" s="40">
        <v>2500</v>
      </c>
      <c r="K42" s="40">
        <v>357.14285714285717</v>
      </c>
      <c r="L42" s="40">
        <v>7</v>
      </c>
      <c r="M42" s="38"/>
    </row>
    <row r="43" spans="2:13" s="7" customFormat="1" x14ac:dyDescent="0.3">
      <c r="B43" s="5">
        <v>30</v>
      </c>
      <c r="C43" s="38"/>
      <c r="D43" s="68" t="s">
        <v>123</v>
      </c>
      <c r="E43" s="38" t="s">
        <v>220</v>
      </c>
      <c r="F43" s="38" t="s">
        <v>167</v>
      </c>
      <c r="G43" s="39">
        <v>40980</v>
      </c>
      <c r="H43" s="40">
        <v>16000</v>
      </c>
      <c r="I43" s="68">
        <v>1</v>
      </c>
      <c r="J43" s="40">
        <v>16000</v>
      </c>
      <c r="K43" s="40">
        <v>2285.7142857142858</v>
      </c>
      <c r="L43" s="40">
        <v>7</v>
      </c>
      <c r="M43" s="38"/>
    </row>
    <row r="44" spans="2:13" s="7" customFormat="1" x14ac:dyDescent="0.3">
      <c r="B44" s="5">
        <v>31</v>
      </c>
      <c r="C44" s="38"/>
      <c r="D44" s="68" t="s">
        <v>117</v>
      </c>
      <c r="E44" s="38" t="s">
        <v>240</v>
      </c>
      <c r="F44" s="38" t="s">
        <v>167</v>
      </c>
      <c r="G44" s="39">
        <v>41754</v>
      </c>
      <c r="H44" s="40">
        <v>2500</v>
      </c>
      <c r="I44" s="68">
        <v>1</v>
      </c>
      <c r="J44" s="40">
        <v>2500</v>
      </c>
      <c r="K44" s="40">
        <v>357.14285714285717</v>
      </c>
      <c r="L44" s="40">
        <v>7</v>
      </c>
      <c r="M44" s="38"/>
    </row>
    <row r="45" spans="2:13" s="7" customFormat="1" x14ac:dyDescent="0.3">
      <c r="B45" s="5">
        <v>32</v>
      </c>
      <c r="C45" s="38"/>
      <c r="D45" s="68" t="s">
        <v>122</v>
      </c>
      <c r="E45" s="38" t="s">
        <v>227</v>
      </c>
      <c r="F45" s="38" t="s">
        <v>167</v>
      </c>
      <c r="G45" s="39">
        <v>42914</v>
      </c>
      <c r="H45" s="40">
        <v>3000</v>
      </c>
      <c r="I45" s="68">
        <v>1</v>
      </c>
      <c r="J45" s="40">
        <v>3000</v>
      </c>
      <c r="K45" s="40">
        <v>428.57142857142856</v>
      </c>
      <c r="L45" s="40">
        <v>7</v>
      </c>
      <c r="M45" s="38"/>
    </row>
    <row r="46" spans="2:13" s="7" customFormat="1" x14ac:dyDescent="0.3">
      <c r="B46" s="5">
        <v>33</v>
      </c>
      <c r="C46" s="38"/>
      <c r="D46" s="68" t="s">
        <v>128</v>
      </c>
      <c r="E46" s="38" t="s">
        <v>219</v>
      </c>
      <c r="F46" s="38" t="s">
        <v>167</v>
      </c>
      <c r="G46" s="39">
        <v>42627</v>
      </c>
      <c r="H46" s="40">
        <v>4500</v>
      </c>
      <c r="I46" s="68">
        <v>1</v>
      </c>
      <c r="J46" s="40">
        <v>4500</v>
      </c>
      <c r="K46" s="40">
        <v>562.5</v>
      </c>
      <c r="L46" s="40">
        <v>8</v>
      </c>
      <c r="M46" s="38"/>
    </row>
    <row r="47" spans="2:13" s="7" customFormat="1" x14ac:dyDescent="0.3">
      <c r="B47" s="5">
        <v>34</v>
      </c>
      <c r="C47" s="38"/>
      <c r="D47" s="68" t="s">
        <v>142</v>
      </c>
      <c r="E47" s="38" t="s">
        <v>226</v>
      </c>
      <c r="F47" s="38" t="s">
        <v>167</v>
      </c>
      <c r="G47" s="39">
        <v>42879</v>
      </c>
      <c r="H47" s="40">
        <v>5000</v>
      </c>
      <c r="I47" s="68">
        <v>2</v>
      </c>
      <c r="J47" s="40">
        <v>5000</v>
      </c>
      <c r="K47" s="40">
        <v>625</v>
      </c>
      <c r="L47" s="40">
        <v>8</v>
      </c>
      <c r="M47" s="38"/>
    </row>
    <row r="48" spans="2:13" s="7" customFormat="1" x14ac:dyDescent="0.3">
      <c r="B48" s="5">
        <v>35</v>
      </c>
      <c r="C48" s="38"/>
      <c r="D48" s="68" t="s">
        <v>152</v>
      </c>
      <c r="E48" s="38" t="s">
        <v>225</v>
      </c>
      <c r="F48" s="38" t="s">
        <v>167</v>
      </c>
      <c r="G48" s="39">
        <v>41737</v>
      </c>
      <c r="H48" s="40">
        <v>2500</v>
      </c>
      <c r="I48" s="68">
        <v>2</v>
      </c>
      <c r="J48" s="40">
        <v>2500</v>
      </c>
      <c r="K48" s="40">
        <v>312.5</v>
      </c>
      <c r="L48" s="40">
        <v>8</v>
      </c>
      <c r="M48" s="38"/>
    </row>
    <row r="49" spans="2:13" s="7" customFormat="1" x14ac:dyDescent="0.3">
      <c r="B49" s="5">
        <v>36</v>
      </c>
      <c r="C49" s="38"/>
      <c r="D49" s="68" t="s">
        <v>125</v>
      </c>
      <c r="E49" s="38" t="s">
        <v>279</v>
      </c>
      <c r="F49" s="38" t="s">
        <v>167</v>
      </c>
      <c r="G49" s="39">
        <v>42455</v>
      </c>
      <c r="H49" s="40">
        <v>1000</v>
      </c>
      <c r="I49" s="68">
        <v>1</v>
      </c>
      <c r="J49" s="40">
        <v>1000</v>
      </c>
      <c r="K49" s="40">
        <v>142.85714285714286</v>
      </c>
      <c r="L49" s="40">
        <v>7</v>
      </c>
      <c r="M49" s="38"/>
    </row>
    <row r="50" spans="2:13" s="7" customFormat="1" x14ac:dyDescent="0.3">
      <c r="B50" s="5">
        <v>37</v>
      </c>
      <c r="C50" s="38"/>
      <c r="D50" s="68" t="s">
        <v>144</v>
      </c>
      <c r="E50" s="38" t="s">
        <v>241</v>
      </c>
      <c r="F50" s="38" t="s">
        <v>167</v>
      </c>
      <c r="G50" s="39">
        <v>42395</v>
      </c>
      <c r="H50" s="40">
        <v>100</v>
      </c>
      <c r="I50" s="68">
        <v>1</v>
      </c>
      <c r="J50" s="40">
        <v>100</v>
      </c>
      <c r="K50" s="40">
        <v>12.5</v>
      </c>
      <c r="L50" s="40">
        <v>8</v>
      </c>
      <c r="M50" s="38"/>
    </row>
    <row r="51" spans="2:13" s="7" customFormat="1" x14ac:dyDescent="0.3">
      <c r="B51" s="5">
        <v>38</v>
      </c>
      <c r="C51" s="38"/>
      <c r="D51" s="68" t="s">
        <v>136</v>
      </c>
      <c r="E51" s="38" t="s">
        <v>219</v>
      </c>
      <c r="F51" s="38" t="s">
        <v>167</v>
      </c>
      <c r="G51" s="39">
        <v>43091</v>
      </c>
      <c r="H51" s="40">
        <v>4500</v>
      </c>
      <c r="I51" s="68">
        <v>1</v>
      </c>
      <c r="J51" s="40">
        <v>4500</v>
      </c>
      <c r="K51" s="40">
        <v>750</v>
      </c>
      <c r="L51" s="40">
        <v>6</v>
      </c>
      <c r="M51" s="38"/>
    </row>
    <row r="52" spans="2:13" s="7" customFormat="1" x14ac:dyDescent="0.3">
      <c r="B52" s="5">
        <v>39</v>
      </c>
      <c r="C52" s="38"/>
      <c r="D52" s="68" t="s">
        <v>121</v>
      </c>
      <c r="E52" s="38" t="s">
        <v>223</v>
      </c>
      <c r="F52" s="38" t="s">
        <v>167</v>
      </c>
      <c r="G52" s="39">
        <v>42221</v>
      </c>
      <c r="H52" s="40">
        <v>2500</v>
      </c>
      <c r="I52" s="68">
        <v>1</v>
      </c>
      <c r="J52" s="40">
        <v>2500</v>
      </c>
      <c r="K52" s="40">
        <v>416.66666666666669</v>
      </c>
      <c r="L52" s="40">
        <v>6</v>
      </c>
      <c r="M52" s="38"/>
    </row>
    <row r="53" spans="2:13" s="7" customFormat="1" x14ac:dyDescent="0.3">
      <c r="B53" s="5">
        <v>40</v>
      </c>
      <c r="C53" s="38"/>
      <c r="D53" s="68" t="s">
        <v>137</v>
      </c>
      <c r="E53" s="38" t="s">
        <v>219</v>
      </c>
      <c r="F53" s="38" t="s">
        <v>167</v>
      </c>
      <c r="G53" s="39">
        <v>42242</v>
      </c>
      <c r="H53" s="40">
        <v>4500</v>
      </c>
      <c r="I53" s="68">
        <v>1</v>
      </c>
      <c r="J53" s="40">
        <v>4500</v>
      </c>
      <c r="K53" s="40">
        <v>750</v>
      </c>
      <c r="L53" s="40">
        <v>6</v>
      </c>
      <c r="M53" s="38"/>
    </row>
    <row r="54" spans="2:13" s="7" customFormat="1" x14ac:dyDescent="0.3">
      <c r="B54" s="5">
        <v>41</v>
      </c>
      <c r="C54" s="38"/>
      <c r="D54" s="68" t="s">
        <v>139</v>
      </c>
      <c r="E54" s="38" t="s">
        <v>242</v>
      </c>
      <c r="F54" s="38" t="s">
        <v>167</v>
      </c>
      <c r="G54" s="39">
        <v>42243</v>
      </c>
      <c r="H54" s="40">
        <v>5000</v>
      </c>
      <c r="I54" s="68">
        <v>1</v>
      </c>
      <c r="J54" s="40">
        <v>5000</v>
      </c>
      <c r="K54" s="40">
        <v>625</v>
      </c>
      <c r="L54" s="40">
        <v>8</v>
      </c>
      <c r="M54" s="38"/>
    </row>
    <row r="55" spans="2:13" s="7" customFormat="1" x14ac:dyDescent="0.3">
      <c r="B55" s="5">
        <v>42</v>
      </c>
      <c r="C55" s="38"/>
      <c r="D55" s="68" t="s">
        <v>119</v>
      </c>
      <c r="E55" s="38" t="s">
        <v>221</v>
      </c>
      <c r="F55" s="38" t="s">
        <v>167</v>
      </c>
      <c r="G55" s="39">
        <v>42244</v>
      </c>
      <c r="H55" s="40">
        <v>300</v>
      </c>
      <c r="I55" s="68">
        <v>2</v>
      </c>
      <c r="J55" s="40">
        <v>300</v>
      </c>
      <c r="K55" s="40">
        <v>37.5</v>
      </c>
      <c r="L55" s="40">
        <v>8</v>
      </c>
      <c r="M55" s="38"/>
    </row>
    <row r="56" spans="2:13" s="7" customFormat="1" x14ac:dyDescent="0.3">
      <c r="B56" s="5">
        <v>43</v>
      </c>
      <c r="C56" s="38"/>
      <c r="D56" s="68" t="s">
        <v>150</v>
      </c>
      <c r="E56" s="38" t="s">
        <v>222</v>
      </c>
      <c r="F56" s="38" t="s">
        <v>167</v>
      </c>
      <c r="G56" s="39">
        <v>40223</v>
      </c>
      <c r="H56" s="40">
        <v>250</v>
      </c>
      <c r="I56" s="68">
        <v>1</v>
      </c>
      <c r="J56" s="40">
        <v>250</v>
      </c>
      <c r="K56" s="40">
        <v>41.666666666666664</v>
      </c>
      <c r="L56" s="40">
        <v>6</v>
      </c>
      <c r="M56" s="38"/>
    </row>
    <row r="57" spans="2:13" s="7" customFormat="1" x14ac:dyDescent="0.3">
      <c r="B57" s="5">
        <v>44</v>
      </c>
      <c r="C57" s="38"/>
      <c r="D57" s="68" t="s">
        <v>135</v>
      </c>
      <c r="E57" s="38" t="s">
        <v>224</v>
      </c>
      <c r="F57" s="38" t="s">
        <v>167</v>
      </c>
      <c r="G57" s="39">
        <v>40658</v>
      </c>
      <c r="H57" s="40">
        <v>150</v>
      </c>
      <c r="I57" s="68">
        <v>4</v>
      </c>
      <c r="J57" s="40">
        <v>150</v>
      </c>
      <c r="K57" s="40">
        <v>30</v>
      </c>
      <c r="L57" s="40">
        <v>5</v>
      </c>
      <c r="M57" s="38"/>
    </row>
    <row r="58" spans="2:13" s="7" customFormat="1" x14ac:dyDescent="0.3">
      <c r="B58" s="5">
        <v>45</v>
      </c>
      <c r="C58" s="38"/>
      <c r="D58" s="68" t="s">
        <v>145</v>
      </c>
      <c r="E58" s="38" t="s">
        <v>224</v>
      </c>
      <c r="F58" s="38" t="s">
        <v>167</v>
      </c>
      <c r="G58" s="39">
        <v>41368</v>
      </c>
      <c r="H58" s="40">
        <v>500</v>
      </c>
      <c r="I58" s="68">
        <v>1</v>
      </c>
      <c r="J58" s="40">
        <v>500</v>
      </c>
      <c r="K58" s="40">
        <v>100</v>
      </c>
      <c r="L58" s="40">
        <v>5</v>
      </c>
      <c r="M58" s="38"/>
    </row>
    <row r="59" spans="2:13" s="7" customFormat="1" x14ac:dyDescent="0.3">
      <c r="B59" s="5">
        <v>46</v>
      </c>
      <c r="C59" s="38"/>
      <c r="D59" s="68" t="s">
        <v>160</v>
      </c>
      <c r="E59" s="38" t="s">
        <v>243</v>
      </c>
      <c r="F59" s="38" t="s">
        <v>167</v>
      </c>
      <c r="G59" s="39">
        <v>42428</v>
      </c>
      <c r="H59" s="40">
        <v>600</v>
      </c>
      <c r="I59" s="68">
        <v>1</v>
      </c>
      <c r="J59" s="40">
        <v>600</v>
      </c>
      <c r="K59" s="40">
        <v>100</v>
      </c>
      <c r="L59" s="40">
        <v>6</v>
      </c>
      <c r="M59" s="38"/>
    </row>
    <row r="60" spans="2:13" s="7" customFormat="1" x14ac:dyDescent="0.3">
      <c r="B60" s="5">
        <v>47</v>
      </c>
      <c r="C60" s="38"/>
      <c r="D60" s="68" t="s">
        <v>118</v>
      </c>
      <c r="E60" s="38" t="s">
        <v>244</v>
      </c>
      <c r="F60" s="38" t="s">
        <v>167</v>
      </c>
      <c r="G60" s="39">
        <v>40980</v>
      </c>
      <c r="H60" s="40">
        <v>50</v>
      </c>
      <c r="I60" s="68">
        <v>1</v>
      </c>
      <c r="J60" s="40">
        <v>50</v>
      </c>
      <c r="K60" s="40">
        <v>6.25</v>
      </c>
      <c r="L60" s="40">
        <v>8</v>
      </c>
      <c r="M60" s="38"/>
    </row>
    <row r="61" spans="2:13" s="7" customFormat="1" x14ac:dyDescent="0.3">
      <c r="B61" s="5">
        <v>48</v>
      </c>
      <c r="C61" s="38"/>
      <c r="D61" s="68" t="s">
        <v>163</v>
      </c>
      <c r="E61" s="38" t="s">
        <v>245</v>
      </c>
      <c r="F61" s="38" t="s">
        <v>167</v>
      </c>
      <c r="G61" s="39">
        <v>41754</v>
      </c>
      <c r="H61" s="40">
        <v>60</v>
      </c>
      <c r="I61" s="68">
        <v>1</v>
      </c>
      <c r="J61" s="40">
        <v>60</v>
      </c>
      <c r="K61" s="40">
        <v>7.5</v>
      </c>
      <c r="L61" s="40">
        <v>8</v>
      </c>
      <c r="M61" s="38"/>
    </row>
    <row r="62" spans="2:13" s="7" customFormat="1" x14ac:dyDescent="0.3">
      <c r="B62" s="5">
        <v>49</v>
      </c>
      <c r="C62" s="38"/>
      <c r="D62" s="68" t="s">
        <v>155</v>
      </c>
      <c r="E62" s="38" t="s">
        <v>245</v>
      </c>
      <c r="F62" s="38" t="s">
        <v>167</v>
      </c>
      <c r="G62" s="39">
        <v>42914</v>
      </c>
      <c r="H62" s="40">
        <v>150</v>
      </c>
      <c r="I62" s="68">
        <v>1</v>
      </c>
      <c r="J62" s="40">
        <v>150</v>
      </c>
      <c r="K62" s="40">
        <v>18.75</v>
      </c>
      <c r="L62" s="40">
        <v>8</v>
      </c>
      <c r="M62" s="38"/>
    </row>
    <row r="63" spans="2:13" s="7" customFormat="1" x14ac:dyDescent="0.3">
      <c r="B63" s="5">
        <v>50</v>
      </c>
      <c r="C63" s="38"/>
      <c r="D63" s="68" t="s">
        <v>154</v>
      </c>
      <c r="E63" s="38" t="s">
        <v>245</v>
      </c>
      <c r="F63" s="38" t="s">
        <v>167</v>
      </c>
      <c r="G63" s="39">
        <v>42627</v>
      </c>
      <c r="H63" s="40">
        <v>2500</v>
      </c>
      <c r="I63" s="68">
        <v>1</v>
      </c>
      <c r="J63" s="40">
        <v>2500</v>
      </c>
      <c r="K63" s="40">
        <v>357.14285714285717</v>
      </c>
      <c r="L63" s="40">
        <v>7</v>
      </c>
      <c r="M63" s="38"/>
    </row>
    <row r="64" spans="2:13" s="7" customFormat="1" x14ac:dyDescent="0.3">
      <c r="B64" s="5">
        <v>51</v>
      </c>
      <c r="C64" s="38"/>
      <c r="D64" s="68" t="s">
        <v>117</v>
      </c>
      <c r="E64" s="38" t="s">
        <v>240</v>
      </c>
      <c r="F64" s="38" t="s">
        <v>167</v>
      </c>
      <c r="G64" s="39">
        <v>42879</v>
      </c>
      <c r="H64" s="40">
        <v>2500</v>
      </c>
      <c r="I64" s="68">
        <v>2</v>
      </c>
      <c r="J64" s="40">
        <v>2500</v>
      </c>
      <c r="K64" s="40">
        <v>357.14285714285717</v>
      </c>
      <c r="L64" s="40">
        <v>7</v>
      </c>
      <c r="M64" s="38"/>
    </row>
    <row r="65" spans="2:13" s="7" customFormat="1" x14ac:dyDescent="0.3">
      <c r="B65" s="5">
        <v>52</v>
      </c>
      <c r="C65" s="38"/>
      <c r="D65" s="68" t="s">
        <v>134</v>
      </c>
      <c r="E65" s="38" t="s">
        <v>243</v>
      </c>
      <c r="F65" s="38" t="s">
        <v>167</v>
      </c>
      <c r="G65" s="39">
        <v>42901</v>
      </c>
      <c r="H65" s="40">
        <v>2500</v>
      </c>
      <c r="I65" s="68">
        <v>1</v>
      </c>
      <c r="J65" s="40">
        <v>2500</v>
      </c>
      <c r="K65" s="40">
        <v>357.14285714285717</v>
      </c>
      <c r="L65" s="40">
        <v>7</v>
      </c>
      <c r="M65" s="38"/>
    </row>
    <row r="66" spans="2:13" s="7" customFormat="1" x14ac:dyDescent="0.3">
      <c r="B66" s="5">
        <v>53</v>
      </c>
      <c r="C66" s="38"/>
      <c r="D66" s="38"/>
      <c r="E66" s="38"/>
      <c r="F66" s="38"/>
      <c r="G66" s="39"/>
      <c r="H66" s="40"/>
      <c r="I66" s="68"/>
      <c r="J66" s="40"/>
      <c r="K66" s="40"/>
      <c r="L66" s="40"/>
      <c r="M66" s="38"/>
    </row>
    <row r="67" spans="2:13" s="7" customFormat="1" x14ac:dyDescent="0.3">
      <c r="B67" s="5">
        <v>54</v>
      </c>
      <c r="C67" s="38"/>
      <c r="D67" s="38"/>
      <c r="E67" s="38"/>
      <c r="F67" s="38"/>
      <c r="G67" s="39"/>
      <c r="H67" s="40"/>
      <c r="I67" s="40"/>
      <c r="J67" s="40"/>
      <c r="K67" s="40"/>
      <c r="L67" s="40"/>
      <c r="M67" s="38"/>
    </row>
    <row r="68" spans="2:13" s="7" customFormat="1" x14ac:dyDescent="0.3">
      <c r="B68" s="5">
        <v>55</v>
      </c>
      <c r="C68" s="38"/>
      <c r="D68" s="38"/>
      <c r="E68" s="38"/>
      <c r="F68" s="38"/>
      <c r="G68" s="39"/>
      <c r="H68" s="40"/>
      <c r="I68" s="40"/>
      <c r="J68" s="40"/>
      <c r="K68" s="40"/>
      <c r="L68" s="40"/>
      <c r="M68" s="38"/>
    </row>
    <row r="69" spans="2:13" s="7" customFormat="1" x14ac:dyDescent="0.3">
      <c r="B69" s="5">
        <v>56</v>
      </c>
      <c r="C69" s="38"/>
      <c r="D69" s="38"/>
      <c r="E69" s="38"/>
      <c r="F69" s="38"/>
      <c r="G69" s="39"/>
      <c r="H69" s="40"/>
      <c r="I69" s="40"/>
      <c r="J69" s="40"/>
      <c r="K69" s="40"/>
      <c r="L69" s="40"/>
      <c r="M69" s="38"/>
    </row>
    <row r="70" spans="2:13" s="7" customFormat="1" x14ac:dyDescent="0.3">
      <c r="B70" s="5">
        <v>57</v>
      </c>
      <c r="C70" s="38"/>
      <c r="D70" s="38"/>
      <c r="E70" s="38"/>
      <c r="F70" s="38"/>
      <c r="G70" s="39"/>
      <c r="H70" s="40"/>
      <c r="I70" s="40"/>
      <c r="J70" s="40"/>
      <c r="K70" s="40"/>
      <c r="L70" s="40"/>
      <c r="M70" s="38"/>
    </row>
    <row r="71" spans="2:13" s="7" customFormat="1" x14ac:dyDescent="0.3">
      <c r="B71" s="5">
        <v>58</v>
      </c>
      <c r="C71" s="38"/>
      <c r="D71" s="38"/>
      <c r="E71" s="38"/>
      <c r="F71" s="38"/>
      <c r="G71" s="39"/>
      <c r="H71" s="40"/>
      <c r="I71" s="40"/>
      <c r="J71" s="40"/>
      <c r="K71" s="40"/>
      <c r="L71" s="40"/>
      <c r="M71" s="38"/>
    </row>
    <row r="72" spans="2:13" s="7" customFormat="1" x14ac:dyDescent="0.3">
      <c r="B72" s="5">
        <v>59</v>
      </c>
      <c r="C72" s="38"/>
      <c r="D72" s="38"/>
      <c r="E72" s="38"/>
      <c r="F72" s="38"/>
      <c r="G72" s="39"/>
      <c r="H72" s="40"/>
      <c r="I72" s="40"/>
      <c r="J72" s="40"/>
      <c r="K72" s="40"/>
      <c r="L72" s="40"/>
      <c r="M72" s="38"/>
    </row>
    <row r="73" spans="2:13" s="7" customFormat="1" x14ac:dyDescent="0.3">
      <c r="B73" s="5">
        <v>60</v>
      </c>
      <c r="C73" s="38"/>
      <c r="D73" s="38"/>
      <c r="E73" s="38"/>
      <c r="F73" s="38"/>
      <c r="G73" s="39"/>
      <c r="H73" s="40"/>
      <c r="I73" s="40"/>
      <c r="J73" s="40"/>
      <c r="K73" s="40"/>
      <c r="L73" s="40"/>
      <c r="M73" s="38"/>
    </row>
    <row r="74" spans="2:13" s="7" customFormat="1" x14ac:dyDescent="0.3">
      <c r="B74" s="5">
        <v>61</v>
      </c>
      <c r="C74" s="38"/>
      <c r="D74" s="38"/>
      <c r="E74" s="38"/>
      <c r="F74" s="38"/>
      <c r="G74" s="39"/>
      <c r="H74" s="40"/>
      <c r="I74" s="40"/>
      <c r="J74" s="40"/>
      <c r="K74" s="40"/>
      <c r="L74" s="40"/>
      <c r="M74" s="38"/>
    </row>
    <row r="75" spans="2:13" s="7" customFormat="1" x14ac:dyDescent="0.3">
      <c r="B75" s="5">
        <v>62</v>
      </c>
      <c r="C75" s="38"/>
      <c r="D75" s="38"/>
      <c r="E75" s="38"/>
      <c r="F75" s="38"/>
      <c r="G75" s="39"/>
      <c r="H75" s="40"/>
      <c r="I75" s="40"/>
      <c r="J75" s="40"/>
      <c r="K75" s="40"/>
      <c r="L75" s="40"/>
      <c r="M75" s="38"/>
    </row>
    <row r="76" spans="2:13" s="7" customFormat="1" x14ac:dyDescent="0.3">
      <c r="B76" s="5">
        <v>63</v>
      </c>
      <c r="C76" s="38"/>
      <c r="D76" s="38"/>
      <c r="E76" s="38"/>
      <c r="F76" s="38"/>
      <c r="G76" s="39"/>
      <c r="H76" s="40"/>
      <c r="I76" s="40"/>
      <c r="J76" s="40"/>
      <c r="K76" s="40"/>
      <c r="L76" s="40"/>
      <c r="M76" s="38"/>
    </row>
    <row r="77" spans="2:13" s="7" customFormat="1" x14ac:dyDescent="0.3">
      <c r="G77" s="2"/>
    </row>
    <row r="78" spans="2:13" s="7" customFormat="1" x14ac:dyDescent="0.3">
      <c r="G78" s="2"/>
    </row>
  </sheetData>
  <sheetProtection password="C2E9" sheet="1" objects="1" scenarios="1" formatColumns="0" formatRows="0" sort="0" autoFilter="0"/>
  <dataValidations count="2">
    <dataValidation type="date" operator="greaterThan" allowBlank="1" showInputMessage="1" showErrorMessage="1" sqref="G14:G76">
      <formula1>1</formula1>
    </dataValidation>
    <dataValidation type="decimal" operator="greaterThanOrEqual" allowBlank="1" showInputMessage="1" showErrorMessage="1" sqref="H14:L76">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NonMeds" altText="Add Drug / Medication / Supply">
                <anchor moveWithCells="1">
                  <from>
                    <xdr:col>1</xdr:col>
                    <xdr:colOff>123825</xdr:colOff>
                    <xdr:row>13</xdr:row>
                    <xdr:rowOff>28575</xdr:rowOff>
                  </from>
                  <to>
                    <xdr:col>1</xdr:col>
                    <xdr:colOff>1209675</xdr:colOff>
                    <xdr:row>14</xdr:row>
                    <xdr:rowOff>0</xdr:rowOff>
                  </to>
                </anchor>
              </controlPr>
            </control>
          </mc:Choice>
        </mc:AlternateContent>
        <mc:AlternateContent xmlns:mc="http://schemas.openxmlformats.org/markup-compatibility/2006">
          <mc:Choice Requires="x14">
            <control shapeId="3074" r:id="rId4" name="Button 2">
              <controlPr defaultSize="0" print="0" autoFill="0" autoPict="0" macro="[0]!Delete_NonMeds" altText="Delete Drug / Medication / Supply">
                <anchor moveWithCells="1">
                  <from>
                    <xdr:col>1</xdr:col>
                    <xdr:colOff>1276350</xdr:colOff>
                    <xdr:row>13</xdr:row>
                    <xdr:rowOff>28575</xdr:rowOff>
                  </from>
                  <to>
                    <xdr:col>1</xdr:col>
                    <xdr:colOff>2362200</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52" t="s">
        <v>107</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
      <c r="A1" s="26" t="s">
        <v>21</v>
      </c>
      <c r="B1" s="15"/>
    </row>
    <row r="2" spans="1:3" ht="15" customHeight="1" x14ac:dyDescent="0.3">
      <c r="A2" s="15"/>
      <c r="B2" s="15"/>
    </row>
    <row r="3" spans="1:3" ht="15" customHeight="1" x14ac:dyDescent="0.3">
      <c r="A3" s="27" t="s">
        <v>22</v>
      </c>
      <c r="B3" s="28" t="s">
        <v>23</v>
      </c>
    </row>
    <row r="4" spans="1:3" ht="15" customHeight="1" x14ac:dyDescent="0.3">
      <c r="A4" s="30" t="s">
        <v>24</v>
      </c>
      <c r="B4" s="28" t="s">
        <v>25</v>
      </c>
      <c r="C4" s="9" t="str">
        <f>CONCATENATE(A4, " -&gt; ",B4)</f>
        <v>Administrative/Overhead services -&gt; Office of the Medical Center Chief</v>
      </c>
    </row>
    <row r="5" spans="1:3" ht="15" customHeight="1" x14ac:dyDescent="0.3">
      <c r="A5" s="30" t="s">
        <v>24</v>
      </c>
      <c r="B5" s="29" t="s">
        <v>93</v>
      </c>
      <c r="C5" s="9" t="str">
        <f t="shared" ref="C5:C57" si="0">CONCATENATE(A5, " -&gt; ",B5)</f>
        <v>Administrative/Overhead services -&gt; IT Departments</v>
      </c>
    </row>
    <row r="6" spans="1:3" ht="15" customHeight="1" x14ac:dyDescent="0.3">
      <c r="A6" s="30" t="s">
        <v>24</v>
      </c>
      <c r="B6" s="29" t="s">
        <v>26</v>
      </c>
      <c r="C6" s="9" t="str">
        <f t="shared" si="0"/>
        <v>Administrative/Overhead services -&gt; Office of the Administrative Officer</v>
      </c>
    </row>
    <row r="7" spans="1:3" ht="15" customHeight="1" x14ac:dyDescent="0.3">
      <c r="A7" s="30" t="s">
        <v>24</v>
      </c>
      <c r="B7" s="29" t="s">
        <v>27</v>
      </c>
      <c r="C7" s="9" t="str">
        <f t="shared" si="0"/>
        <v>Administrative/Overhead services -&gt; Human Resource Management</v>
      </c>
    </row>
    <row r="8" spans="1:3" ht="15" customHeight="1" x14ac:dyDescent="0.3">
      <c r="A8" s="30" t="s">
        <v>24</v>
      </c>
      <c r="B8" s="29" t="s">
        <v>28</v>
      </c>
      <c r="C8" s="9" t="str">
        <f t="shared" si="0"/>
        <v>Administrative/Overhead services -&gt; Procurement</v>
      </c>
    </row>
    <row r="9" spans="1:3" ht="15" customHeight="1" x14ac:dyDescent="0.3">
      <c r="A9" s="30" t="s">
        <v>24</v>
      </c>
      <c r="B9" s="29" t="s">
        <v>29</v>
      </c>
      <c r="C9" s="9" t="str">
        <f t="shared" si="0"/>
        <v>Administrative/Overhead services -&gt; Materials Management</v>
      </c>
    </row>
    <row r="10" spans="1:3" ht="15" customHeight="1" x14ac:dyDescent="0.3">
      <c r="A10" s="30" t="s">
        <v>24</v>
      </c>
      <c r="B10" s="29" t="s">
        <v>30</v>
      </c>
      <c r="C10" s="9" t="str">
        <f t="shared" si="0"/>
        <v>Administrative/Overhead services -&gt; Engineering and Facilities Management</v>
      </c>
    </row>
    <row r="11" spans="1:3" ht="15" customHeight="1" x14ac:dyDescent="0.3">
      <c r="A11" s="30" t="s">
        <v>24</v>
      </c>
      <c r="B11" s="29" t="s">
        <v>94</v>
      </c>
      <c r="C11" s="9" t="str">
        <f t="shared" si="0"/>
        <v>Administrative/Overhead services -&gt; Housekeeping</v>
      </c>
    </row>
    <row r="12" spans="1:3" ht="15" customHeight="1" x14ac:dyDescent="0.3">
      <c r="A12" s="30" t="s">
        <v>24</v>
      </c>
      <c r="B12" s="29" t="s">
        <v>31</v>
      </c>
      <c r="C12" s="9" t="str">
        <f t="shared" si="0"/>
        <v>Administrative/Overhead services -&gt; Budget and Accounting</v>
      </c>
    </row>
    <row r="13" spans="1:3" ht="15" customHeight="1" x14ac:dyDescent="0.3">
      <c r="A13" s="30" t="s">
        <v>24</v>
      </c>
      <c r="B13" s="29" t="s">
        <v>32</v>
      </c>
      <c r="C13" s="9" t="str">
        <f t="shared" si="0"/>
        <v>Administrative/Overhead services -&gt; Medical Social Work</v>
      </c>
    </row>
    <row r="14" spans="1:3" ht="15" customHeight="1" x14ac:dyDescent="0.3">
      <c r="A14" s="30" t="s">
        <v>24</v>
      </c>
      <c r="B14" s="29" t="s">
        <v>33</v>
      </c>
      <c r="C14" s="9" t="str">
        <f t="shared" si="0"/>
        <v>Administrative/Overhead services -&gt; Office of the Chief Nurse</v>
      </c>
    </row>
    <row r="15" spans="1:3" ht="15" customHeight="1" x14ac:dyDescent="0.3">
      <c r="A15" s="30" t="s">
        <v>24</v>
      </c>
      <c r="B15" s="29" t="s">
        <v>34</v>
      </c>
      <c r="C15" s="9" t="str">
        <f t="shared" si="0"/>
        <v>Administrative/Overhead services -&gt; Health Info Mgt (Admitting)</v>
      </c>
    </row>
    <row r="16" spans="1:3" ht="15" customHeight="1" x14ac:dyDescent="0.3">
      <c r="A16" s="30" t="s">
        <v>24</v>
      </c>
      <c r="B16" s="29" t="s">
        <v>35</v>
      </c>
      <c r="C16" s="9" t="str">
        <f t="shared" si="0"/>
        <v>Administrative/Overhead services -&gt; Central Supply Office</v>
      </c>
    </row>
    <row r="17" spans="1:3" ht="15" customHeight="1" x14ac:dyDescent="0.3">
      <c r="A17" s="30" t="s">
        <v>24</v>
      </c>
      <c r="B17" s="29" t="s">
        <v>36</v>
      </c>
      <c r="C17" s="9" t="str">
        <f t="shared" si="0"/>
        <v>Administrative/Overhead services -&gt; Billing and Claims</v>
      </c>
    </row>
    <row r="18" spans="1:3" ht="15" customHeight="1" x14ac:dyDescent="0.3">
      <c r="A18" s="30" t="s">
        <v>24</v>
      </c>
      <c r="B18" s="29" t="s">
        <v>37</v>
      </c>
      <c r="C18" s="9" t="str">
        <f t="shared" si="0"/>
        <v>Administrative/Overhead services -&gt; Cash Operations</v>
      </c>
    </row>
    <row r="19" spans="1:3" ht="15" customHeight="1" x14ac:dyDescent="0.3">
      <c r="A19" s="30" t="s">
        <v>24</v>
      </c>
      <c r="B19" s="29" t="s">
        <v>38</v>
      </c>
      <c r="C19" s="9" t="str">
        <f t="shared" si="0"/>
        <v>Administrative/Overhead services -&gt; Security</v>
      </c>
    </row>
    <row r="20" spans="1:3" ht="15" customHeight="1" x14ac:dyDescent="0.3">
      <c r="A20" s="30" t="s">
        <v>24</v>
      </c>
      <c r="B20" s="29" t="s">
        <v>39</v>
      </c>
      <c r="C20" s="9" t="str">
        <f t="shared" si="0"/>
        <v>Administrative/Overhead services -&gt; Office of the Chief of Medical Professional Staff</v>
      </c>
    </row>
    <row r="21" spans="1:3" ht="15" customHeight="1" x14ac:dyDescent="0.3">
      <c r="A21" s="30" t="s">
        <v>24</v>
      </c>
      <c r="B21" s="30" t="s">
        <v>74</v>
      </c>
      <c r="C21" s="9" t="str">
        <f t="shared" si="0"/>
        <v>Administrative/Overhead services -&gt; Others</v>
      </c>
    </row>
    <row r="22" spans="1:3" ht="15" customHeight="1" x14ac:dyDescent="0.3">
      <c r="A22" s="31" t="s">
        <v>40</v>
      </c>
      <c r="B22" s="31" t="s">
        <v>41</v>
      </c>
      <c r="C22" s="9" t="str">
        <f t="shared" si="0"/>
        <v>Ancillary services/Support services -&gt; Laundry</v>
      </c>
    </row>
    <row r="23" spans="1:3" ht="15" customHeight="1" x14ac:dyDescent="0.3">
      <c r="A23" s="31" t="s">
        <v>40</v>
      </c>
      <c r="B23" s="31" t="s">
        <v>44</v>
      </c>
      <c r="C23" s="9" t="str">
        <f t="shared" si="0"/>
        <v>Ancillary services/Support services -&gt; Nutrition and Dietetics</v>
      </c>
    </row>
    <row r="24" spans="1:3" ht="15" customHeight="1" x14ac:dyDescent="0.3">
      <c r="A24" s="31" t="s">
        <v>40</v>
      </c>
      <c r="B24" s="32" t="s">
        <v>75</v>
      </c>
      <c r="C24" s="9" t="str">
        <f t="shared" si="0"/>
        <v>Ancillary services/Support services -&gt; Sterilization</v>
      </c>
    </row>
    <row r="25" spans="1:3" ht="15" customHeight="1" x14ac:dyDescent="0.3">
      <c r="A25" s="31" t="s">
        <v>40</v>
      </c>
      <c r="B25" s="31" t="s">
        <v>43</v>
      </c>
      <c r="C25" s="9" t="str">
        <f t="shared" si="0"/>
        <v>Ancillary services/Support services -&gt; Pharmacy</v>
      </c>
    </row>
    <row r="26" spans="1:3" ht="16.5" x14ac:dyDescent="0.3">
      <c r="A26" s="31" t="s">
        <v>40</v>
      </c>
      <c r="B26" s="32" t="s">
        <v>42</v>
      </c>
      <c r="C26" s="9" t="str">
        <f t="shared" si="0"/>
        <v>Ancillary services/Support services -&gt; Blood Bank</v>
      </c>
    </row>
    <row r="27" spans="1:3" ht="16.5" x14ac:dyDescent="0.3">
      <c r="A27" s="31" t="s">
        <v>40</v>
      </c>
      <c r="B27" s="31" t="s">
        <v>76</v>
      </c>
      <c r="C27" s="9" t="str">
        <f t="shared" si="0"/>
        <v>Ancillary services/Support services -&gt; Laboratory</v>
      </c>
    </row>
    <row r="28" spans="1:3" ht="16.5" x14ac:dyDescent="0.3">
      <c r="A28" s="31" t="s">
        <v>40</v>
      </c>
      <c r="B28" s="31" t="s">
        <v>77</v>
      </c>
      <c r="C28" s="9" t="str">
        <f t="shared" si="0"/>
        <v>Ancillary services/Support services -&gt; Radiology / Diagnostic Imaging (CT Scan, MRI, ECG, Mammography, Endoscopy)</v>
      </c>
    </row>
    <row r="29" spans="1:3" ht="16.5" x14ac:dyDescent="0.3">
      <c r="A29" s="31" t="s">
        <v>40</v>
      </c>
      <c r="B29" s="31" t="s">
        <v>79</v>
      </c>
      <c r="C29" s="9" t="str">
        <f t="shared" si="0"/>
        <v>Ancillary services/Support services -&gt; Physiotherapy / Rehabilitation</v>
      </c>
    </row>
    <row r="30" spans="1:3" ht="16.5" x14ac:dyDescent="0.3">
      <c r="A30" s="31" t="s">
        <v>40</v>
      </c>
      <c r="B30" s="31" t="s">
        <v>46</v>
      </c>
      <c r="C30" s="9" t="str">
        <f t="shared" si="0"/>
        <v>Ancillary services/Support services -&gt; Delivery Room</v>
      </c>
    </row>
    <row r="31" spans="1:3" ht="16.5" x14ac:dyDescent="0.3">
      <c r="A31" s="31" t="s">
        <v>40</v>
      </c>
      <c r="B31" s="33" t="s">
        <v>45</v>
      </c>
      <c r="C31" s="9" t="str">
        <f t="shared" si="0"/>
        <v>Ancillary services/Support services -&gt; Operating Room / Aneasthesiology / PACU / Recovery Room</v>
      </c>
    </row>
    <row r="32" spans="1:3" ht="16.5" x14ac:dyDescent="0.3">
      <c r="A32" s="31" t="s">
        <v>40</v>
      </c>
      <c r="B32" s="31" t="s">
        <v>80</v>
      </c>
      <c r="C32" s="9" t="str">
        <f t="shared" si="0"/>
        <v>Ancillary services/Support services -&gt; Respiratory Unit</v>
      </c>
    </row>
    <row r="33" spans="1:3" ht="16.5" x14ac:dyDescent="0.3">
      <c r="A33" s="31" t="s">
        <v>40</v>
      </c>
      <c r="B33" s="33" t="s">
        <v>47</v>
      </c>
      <c r="C33" s="9" t="str">
        <f t="shared" si="0"/>
        <v>Ancillary services/Support services -&gt; Medical ICU</v>
      </c>
    </row>
    <row r="34" spans="1:3" ht="16.5" x14ac:dyDescent="0.3">
      <c r="A34" s="31" t="s">
        <v>40</v>
      </c>
      <c r="B34" s="33" t="s">
        <v>48</v>
      </c>
      <c r="C34" s="9" t="str">
        <f t="shared" si="0"/>
        <v>Ancillary services/Support services -&gt; Neonatal ICU*</v>
      </c>
    </row>
    <row r="35" spans="1:3" ht="16.5" x14ac:dyDescent="0.3">
      <c r="A35" s="31" t="s">
        <v>40</v>
      </c>
      <c r="B35" s="33" t="s">
        <v>49</v>
      </c>
      <c r="C35" s="9" t="str">
        <f t="shared" si="0"/>
        <v>Ancillary services/Support services -&gt; Surgical ICU*</v>
      </c>
    </row>
    <row r="36" spans="1:3" ht="16.5" x14ac:dyDescent="0.3">
      <c r="A36" s="31" t="s">
        <v>40</v>
      </c>
      <c r="B36" s="33" t="s">
        <v>50</v>
      </c>
      <c r="C36" s="9" t="str">
        <f t="shared" si="0"/>
        <v>Ancillary services/Support services -&gt; Pediatric ICU*</v>
      </c>
    </row>
    <row r="37" spans="1:3" ht="16.5" x14ac:dyDescent="0.3">
      <c r="A37" s="31" t="s">
        <v>40</v>
      </c>
      <c r="B37" s="32" t="s">
        <v>81</v>
      </c>
      <c r="C37" s="9" t="str">
        <f t="shared" si="0"/>
        <v>Ancillary services/Support services -&gt; Burn Unit</v>
      </c>
    </row>
    <row r="38" spans="1:3" ht="16.5" x14ac:dyDescent="0.3">
      <c r="A38" s="31" t="s">
        <v>40</v>
      </c>
      <c r="B38" s="32" t="s">
        <v>82</v>
      </c>
      <c r="C38" s="9" t="str">
        <f t="shared" si="0"/>
        <v>Ancillary services/Support services -&gt; Morgue</v>
      </c>
    </row>
    <row r="39" spans="1:3" ht="16.5" x14ac:dyDescent="0.3">
      <c r="A39" s="31" t="s">
        <v>40</v>
      </c>
      <c r="B39" s="34" t="s">
        <v>74</v>
      </c>
      <c r="C39" s="9" t="str">
        <f t="shared" si="0"/>
        <v>Ancillary services/Support services -&gt; Others</v>
      </c>
    </row>
    <row r="40" spans="1:3" ht="16.5" x14ac:dyDescent="0.3">
      <c r="A40" s="53" t="s">
        <v>52</v>
      </c>
      <c r="B40" s="30" t="s">
        <v>95</v>
      </c>
      <c r="C40" s="9" t="str">
        <f t="shared" si="0"/>
        <v>Clinical/Medical services -&gt; Outpatient Department (general)</v>
      </c>
    </row>
    <row r="41" spans="1:3" ht="16.5" x14ac:dyDescent="0.3">
      <c r="A41" s="53" t="s">
        <v>52</v>
      </c>
      <c r="B41" s="31" t="s">
        <v>83</v>
      </c>
      <c r="C41" s="9" t="str">
        <f t="shared" si="0"/>
        <v>Clinical/Medical services -&gt; Animal Bite Center</v>
      </c>
    </row>
    <row r="42" spans="1:3" ht="16.5" x14ac:dyDescent="0.3">
      <c r="A42" s="53" t="s">
        <v>52</v>
      </c>
      <c r="B42" s="31" t="s">
        <v>84</v>
      </c>
      <c r="C42" s="9" t="str">
        <f t="shared" si="0"/>
        <v>Clinical/Medical services -&gt; TB Dots</v>
      </c>
    </row>
    <row r="43" spans="1:3" ht="16.5" x14ac:dyDescent="0.3">
      <c r="A43" s="53" t="s">
        <v>52</v>
      </c>
      <c r="B43" s="31" t="s">
        <v>85</v>
      </c>
      <c r="C43" s="9" t="str">
        <f t="shared" si="0"/>
        <v>Clinical/Medical services -&gt; HIV Aids</v>
      </c>
    </row>
    <row r="44" spans="1:3" ht="16.5" x14ac:dyDescent="0.3">
      <c r="A44" s="53" t="s">
        <v>52</v>
      </c>
      <c r="B44" s="31" t="s">
        <v>86</v>
      </c>
      <c r="C44" s="9" t="str">
        <f t="shared" si="0"/>
        <v>Clinical/Medical services -&gt; Family Planning Unit</v>
      </c>
    </row>
    <row r="45" spans="1:3" ht="16.5" x14ac:dyDescent="0.3">
      <c r="A45" s="53" t="s">
        <v>52</v>
      </c>
      <c r="B45" s="31" t="s">
        <v>87</v>
      </c>
      <c r="C45" s="9" t="str">
        <f t="shared" si="0"/>
        <v>Clinical/Medical services -&gt; Smoking Cessation</v>
      </c>
    </row>
    <row r="46" spans="1:3" ht="16.5" x14ac:dyDescent="0.3">
      <c r="A46" s="53" t="s">
        <v>52</v>
      </c>
      <c r="B46" s="31" t="s">
        <v>88</v>
      </c>
      <c r="C46" s="9" t="str">
        <f t="shared" si="0"/>
        <v>Clinical/Medical services -&gt; Malaria</v>
      </c>
    </row>
    <row r="47" spans="1:3" ht="16.5" x14ac:dyDescent="0.3">
      <c r="A47" s="53" t="s">
        <v>52</v>
      </c>
      <c r="B47" s="32" t="s">
        <v>96</v>
      </c>
      <c r="C47" s="9" t="str">
        <f t="shared" si="0"/>
        <v xml:space="preserve">Clinical/Medical services -&gt; Diabetes </v>
      </c>
    </row>
    <row r="48" spans="1:3" ht="16.5" x14ac:dyDescent="0.3">
      <c r="A48" s="53" t="s">
        <v>52</v>
      </c>
      <c r="B48" s="31" t="s">
        <v>97</v>
      </c>
      <c r="C48" s="9" t="str">
        <f t="shared" si="0"/>
        <v>Clinical/Medical services -&gt; Hypertension</v>
      </c>
    </row>
    <row r="49" spans="1:3" ht="16.5" x14ac:dyDescent="0.3">
      <c r="A49" s="53" t="s">
        <v>52</v>
      </c>
      <c r="B49" s="31" t="s">
        <v>54</v>
      </c>
      <c r="C49" s="9" t="str">
        <f t="shared" si="0"/>
        <v>Clinical/Medical services -&gt; Emergency Medicine Department</v>
      </c>
    </row>
    <row r="50" spans="1:3" ht="16.5" x14ac:dyDescent="0.3">
      <c r="A50" s="53" t="s">
        <v>52</v>
      </c>
      <c r="B50" s="31" t="s">
        <v>55</v>
      </c>
      <c r="C50" s="9" t="str">
        <f t="shared" si="0"/>
        <v>Clinical/Medical services -&gt; Dialysis Unit</v>
      </c>
    </row>
    <row r="51" spans="1:3" ht="16.5" x14ac:dyDescent="0.3">
      <c r="A51" s="53" t="s">
        <v>52</v>
      </c>
      <c r="B51" s="31" t="s">
        <v>51</v>
      </c>
      <c r="C51" s="9" t="str">
        <f t="shared" si="0"/>
        <v>Clinical/Medical services -&gt; Radiation Oncology Unit*</v>
      </c>
    </row>
    <row r="52" spans="1:3" ht="16.5" x14ac:dyDescent="0.3">
      <c r="A52" s="53" t="s">
        <v>52</v>
      </c>
      <c r="B52" s="31" t="s">
        <v>56</v>
      </c>
      <c r="C52" s="9" t="str">
        <f t="shared" si="0"/>
        <v>Clinical/Medical services -&gt; Dental</v>
      </c>
    </row>
    <row r="53" spans="1:3" ht="16.5" x14ac:dyDescent="0.3">
      <c r="A53" s="53" t="s">
        <v>52</v>
      </c>
      <c r="B53" s="31" t="s">
        <v>57</v>
      </c>
      <c r="C53" s="9" t="str">
        <f t="shared" si="0"/>
        <v>Clinical/Medical services -&gt; Internal Medicine Ward</v>
      </c>
    </row>
    <row r="54" spans="1:3" ht="16.5" x14ac:dyDescent="0.3">
      <c r="A54" s="53" t="s">
        <v>52</v>
      </c>
      <c r="B54" s="31" t="s">
        <v>58</v>
      </c>
      <c r="C54" s="9" t="str">
        <f t="shared" si="0"/>
        <v>Clinical/Medical services -&gt; Pediatric Ward</v>
      </c>
    </row>
    <row r="55" spans="1:3" ht="16.5" x14ac:dyDescent="0.3">
      <c r="A55" s="53" t="s">
        <v>52</v>
      </c>
      <c r="B55" s="31" t="s">
        <v>59</v>
      </c>
      <c r="C55" s="9" t="str">
        <f t="shared" si="0"/>
        <v>Clinical/Medical services -&gt; Surgical Ward</v>
      </c>
    </row>
    <row r="56" spans="1:3" ht="16.5" x14ac:dyDescent="0.3">
      <c r="A56" s="53" t="s">
        <v>52</v>
      </c>
      <c r="B56" s="31" t="s">
        <v>60</v>
      </c>
      <c r="C56" s="9" t="str">
        <f t="shared" si="0"/>
        <v>Clinical/Medical services -&gt; Ob/Gyne Ward</v>
      </c>
    </row>
    <row r="57" spans="1:3" ht="16.5" x14ac:dyDescent="0.3">
      <c r="A57" s="53" t="s">
        <v>52</v>
      </c>
      <c r="B57" s="31" t="s">
        <v>61</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66</v>
      </c>
      <c r="B62" s="35" t="s">
        <v>67</v>
      </c>
    </row>
    <row r="63" spans="1:3" ht="16.5" x14ac:dyDescent="0.3">
      <c r="A63" s="15"/>
      <c r="B63" s="35" t="s">
        <v>68</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35">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kim</cp:lastModifiedBy>
  <cp:lastPrinted>2018-08-22T06:13:07Z</cp:lastPrinted>
  <dcterms:created xsi:type="dcterms:W3CDTF">2018-04-04T07:33:21Z</dcterms:created>
  <dcterms:modified xsi:type="dcterms:W3CDTF">2018-08-23T12:57:30Z</dcterms:modified>
</cp:coreProperties>
</file>