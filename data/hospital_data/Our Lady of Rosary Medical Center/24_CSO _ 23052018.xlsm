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COSTING PAMPANGA Aug 23-24, 2018\Hospital Data\OUR LADY OF ROSARY MEDICAL CENTER\"/>
    </mc:Choice>
  </mc:AlternateContent>
  <workbookProtection lockStructure="1"/>
  <bookViews>
    <workbookView xWindow="0" yWindow="0" windowWidth="15525" windowHeight="7050"/>
  </bookViews>
  <sheets>
    <sheet name="7.1CSO supplies costs" sheetId="1" r:id="rId1"/>
  </sheets>
  <externalReferences>
    <externalReference r:id="rId2"/>
  </externalReferences>
  <definedNames>
    <definedName name="Drugs">'[1]1.0 Drugs&amp;Med List'!$B$16:$B$315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G34" i="1" l="1"/>
  <c r="BF34" i="1"/>
  <c r="BE34" i="1"/>
  <c r="BD34" i="1"/>
  <c r="BC34" i="1"/>
  <c r="BB34" i="1"/>
  <c r="BA34" i="1"/>
  <c r="AZ34" i="1"/>
  <c r="AY34" i="1"/>
  <c r="AX34" i="1"/>
  <c r="AW34" i="1"/>
  <c r="AV34" i="1"/>
  <c r="AU34" i="1"/>
  <c r="AT34" i="1"/>
  <c r="AS34" i="1"/>
  <c r="AR34" i="1"/>
  <c r="AQ34" i="1"/>
  <c r="AP34" i="1"/>
  <c r="AO34" i="1"/>
  <c r="AN34" i="1"/>
  <c r="AM34" i="1"/>
  <c r="AL34" i="1"/>
  <c r="AK34" i="1"/>
  <c r="AJ34" i="1"/>
  <c r="AI34" i="1"/>
  <c r="AH34" i="1"/>
  <c r="AG34"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DQ34" i="1"/>
  <c r="DP34" i="1"/>
  <c r="DO34" i="1"/>
  <c r="DN34" i="1"/>
  <c r="DM34" i="1"/>
  <c r="DL34" i="1"/>
  <c r="DK34" i="1"/>
  <c r="DJ34" i="1"/>
  <c r="DI34" i="1"/>
  <c r="DH34" i="1"/>
  <c r="DG34" i="1"/>
  <c r="DF34" i="1"/>
  <c r="DE34" i="1"/>
  <c r="DD34" i="1"/>
  <c r="DC34" i="1"/>
  <c r="DB34" i="1"/>
  <c r="DA34" i="1"/>
  <c r="CZ34" i="1"/>
  <c r="CY34" i="1"/>
  <c r="CX34" i="1"/>
  <c r="CW34" i="1"/>
  <c r="CV34" i="1"/>
  <c r="CU34" i="1"/>
  <c r="CT34" i="1"/>
  <c r="CS34" i="1"/>
  <c r="CR34" i="1"/>
  <c r="CQ34" i="1"/>
  <c r="CP34" i="1"/>
  <c r="CO34" i="1"/>
  <c r="CN34" i="1"/>
  <c r="CM34" i="1"/>
  <c r="CL34" i="1"/>
  <c r="CK34" i="1"/>
  <c r="CJ34" i="1"/>
  <c r="CI34" i="1"/>
  <c r="CH34" i="1"/>
  <c r="CG34" i="1"/>
  <c r="CF34" i="1"/>
  <c r="CE34" i="1"/>
  <c r="CD34" i="1"/>
  <c r="CC34" i="1"/>
  <c r="CB34" i="1"/>
  <c r="CA34" i="1"/>
  <c r="BZ34" i="1"/>
  <c r="BY34" i="1"/>
  <c r="BX34" i="1"/>
  <c r="BW34" i="1"/>
  <c r="BV34" i="1"/>
  <c r="BU34" i="1"/>
  <c r="BT34" i="1"/>
  <c r="BS34" i="1"/>
  <c r="BR34" i="1"/>
  <c r="BQ34" i="1"/>
  <c r="BP34" i="1"/>
  <c r="BO34" i="1"/>
  <c r="BN34" i="1"/>
  <c r="BM34" i="1"/>
  <c r="BL34" i="1"/>
  <c r="BK34" i="1"/>
  <c r="BJ34" i="1"/>
  <c r="BI34" i="1"/>
  <c r="D34" i="1" l="1"/>
</calcChain>
</file>

<file path=xl/sharedStrings.xml><?xml version="1.0" encoding="utf-8"?>
<sst xmlns="http://schemas.openxmlformats.org/spreadsheetml/2006/main" count="139" uniqueCount="87">
  <si>
    <t>Delivery Room</t>
  </si>
  <si>
    <t>Category of supplies</t>
  </si>
  <si>
    <t>Housekeeping supplies</t>
  </si>
  <si>
    <t>Medical supplies</t>
  </si>
  <si>
    <r>
      <rPr>
        <b/>
        <sz val="11"/>
        <color theme="1"/>
        <rFont val="Arial Narrow"/>
        <family val="2"/>
      </rPr>
      <t>Objective:</t>
    </r>
    <r>
      <rPr>
        <sz val="11"/>
        <color theme="1"/>
        <rFont val="Arial Narrow"/>
        <family val="2"/>
      </rPr>
      <t xml:space="preserve"> Identify costs of supplies consumed in each unit/department of the hospital</t>
    </r>
  </si>
  <si>
    <t>Office supplies (Including Forms)</t>
  </si>
  <si>
    <t>Laboratory Supplies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</si>
  <si>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</si>
  <si>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</si>
  <si>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</si>
  <si>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</si>
  <si>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</si>
  <si>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</si>
  <si>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</si>
  <si>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</si>
  <si>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</si>
  <si>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</si>
  <si>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</si>
  <si>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</si>
  <si>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</si>
  <si>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</si>
  <si>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</si>
  <si>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</si>
  <si>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</si>
  <si>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</si>
  <si>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</si>
  <si>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</si>
  <si>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</si>
  <si>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</si>
  <si>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</si>
  <si>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</si>
  <si>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</si>
  <si>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</si>
  <si>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</si>
  <si>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</si>
  <si>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</si>
  <si>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</si>
  <si>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</si>
  <si>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</si>
  <si>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</si>
  <si>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</si>
  <si>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</si>
  <si>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</si>
  <si>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</si>
  <si>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</si>
  <si>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</si>
  <si>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</si>
  <si>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</si>
  <si>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</si>
  <si>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</si>
  <si>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</si>
  <si>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</si>
  <si>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</si>
  <si>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</si>
  <si>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</si>
  <si>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</si>
  <si>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</si>
  <si>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</si>
  <si>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</si>
  <si>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</si>
  <si>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</si>
  <si>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</si>
  <si>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</si>
  <si>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</si>
  <si>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</si>
  <si>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</si>
  <si>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</si>
  <si>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</si>
  <si>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</si>
  <si>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</si>
  <si>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</si>
  <si>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</si>
  <si>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</si>
  <si>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</si>
  <si>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</si>
  <si>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</si>
  <si>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</si>
  <si>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</si>
  <si>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</si>
  <si>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</si>
  <si>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</si>
  <si>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</si>
  <si>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</si>
  <si>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</si>
  <si>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</si>
  <si>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Radiology</t>
  </si>
  <si>
    <t>oxygen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</si>
</sst>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8"/>
      <color rgb="FF008000"/>
      <name val="Calibri"/>
      <family val="2"/>
      <scheme val="minor"/>
    </font>
    <font>
      <sz val="8"/>
      <color rgb="FF800000"/>
      <name val="Calibri"/>
      <family val="2"/>
      <scheme val="minor"/>
    </font>
    <font>
      <sz val="11"/>
      <color indexed="63"/>
      <name val="Calibri"/>
      <family val="2"/>
      <scheme val="minor"/>
    </font>
    <font>
      <sz val="11"/>
      <color indexed="39"/>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1">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1" fillId="4" borderId="1" xfId="1" applyFont="1" applyFill="1" applyBorder="1" applyAlignment="1">
      <alignment horizontal="left" vertical="center" wrapText="1"/>
    </xf>
    <xf numFmtId="0" fontId="15" fillId="4" borderId="1" xfId="1" applyFont="1" applyFill="1" applyBorder="1" applyAlignment="1">
      <alignment horizontal="left" vertical="center" wrapText="1"/>
    </xf>
    <xf numFmtId="0" fontId="12"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3"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3" fillId="3" borderId="1" xfId="1" applyFont="1" applyFill="1" applyBorder="1" applyAlignment="1">
      <alignment horizontal="center" vertical="center" wrapText="1"/>
    </xf>
    <xf numFmtId="0" fontId="14" fillId="3" borderId="1" xfId="1" applyFont="1" applyFill="1" applyBorder="1" applyAlignment="1">
      <alignment wrapText="1"/>
    </xf>
    <xf numFmtId="0" fontId="13" fillId="4" borderId="1" xfId="1" applyFont="1" applyFill="1" applyBorder="1" applyAlignment="1">
      <alignment horizontal="center" vertical="center" wrapText="1"/>
    </xf>
    <xf numFmtId="0" fontId="14"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1" fillId="3" borderId="3" xfId="1" applyFont="1" applyFill="1" applyBorder="1" applyAlignment="1">
      <alignment wrapText="1"/>
    </xf>
    <xf numFmtId="0" fontId="11" fillId="3" borderId="4" xfId="1" applyFont="1" applyFill="1" applyBorder="1" applyAlignment="1">
      <alignment wrapText="1"/>
    </xf>
    <xf numFmtId="0" fontId="11" fillId="3" borderId="5" xfId="1" applyFont="1" applyFill="1" applyBorder="1" applyAlignment="1">
      <alignment wrapText="1"/>
    </xf>
    <xf numFmtId="0" fontId="11" fillId="3" borderId="1" xfId="1" applyFont="1" applyFill="1" applyBorder="1" applyAlignment="1">
      <alignment wrapText="1"/>
    </xf>
    <xf numFmtId="0" fontId="12" fillId="3" borderId="1" xfId="1" applyFont="1" applyFill="1" applyBorder="1" applyAlignment="1">
      <alignment wrapText="1"/>
    </xf>
    <xf numFmtId="0" fontId="11"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14</xdr:row>
          <xdr:rowOff>28575</xdr:rowOff>
        </xdr:from>
        <xdr:to>
          <xdr:col>1</xdr:col>
          <xdr:colOff>1143000</xdr:colOff>
          <xdr:row>14</xdr:row>
          <xdr:rowOff>209550</xdr:rowOff>
        </xdr:to>
        <xdr:sp macro="" textlink="">
          <xdr:nvSpPr>
            <xdr:cNvPr id="1025" name="Button 1" descr="Add Diagnosis"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14</xdr:row>
          <xdr:rowOff>28575</xdr:rowOff>
        </xdr:from>
        <xdr:to>
          <xdr:col>1</xdr:col>
          <xdr:colOff>1790700</xdr:colOff>
          <xdr:row>14</xdr:row>
          <xdr:rowOff>209550</xdr:rowOff>
        </xdr:to>
        <xdr:sp macro="" textlink="">
          <xdr:nvSpPr>
            <xdr:cNvPr id="1026" name="Button 2" descr="Delete Diagnosis"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2705100</xdr:colOff>
          <xdr:row>10</xdr:row>
          <xdr:rowOff>0</xdr:rowOff>
        </xdr:from>
        <xdr:to>
          <xdr:col>3</xdr:col>
          <xdr:colOff>2801</xdr:colOff>
          <xdr:row>11</xdr:row>
          <xdr:rowOff>9525</xdr:rowOff>
        </xdr:to>
        <xdr:sp macro="" textlink="">
          <xdr:nvSpPr>
            <xdr:cNvPr id="1027" name="SelectI" descr="Select Level I and II Health Facilities"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333333"/>
                  </a:solidFill>
                  <a:latin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4552950</xdr:colOff>
          <xdr:row>10</xdr:row>
          <xdr:rowOff>0</xdr:rowOff>
        </xdr:from>
        <xdr:to>
          <xdr:col>3</xdr:col>
          <xdr:colOff>857250</xdr:colOff>
          <xdr:row>11</xdr:row>
          <xdr:rowOff>9525</xdr:rowOff>
        </xdr:to>
        <xdr:sp macro="" textlink="">
          <xdr:nvSpPr>
            <xdr:cNvPr id="1028" name="SelectIIandIII" descr="Select Level I and II Health Facilities"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FF"/>
                  </a:solidFill>
                  <a:latin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Q35"/>
  <sheetViews>
    <sheetView showGridLines="0" tabSelected="1" topLeftCell="A6" zoomScale="85" zoomScaleNormal="85" workbookViewId="0">
      <selection activeCell="E17" sqref="E17"/>
    </sheetView>
  </sheetViews>
  <sheetFormatPr defaultColWidth="8.7109375" defaultRowHeight="16.5" outlineLevelRow="1" x14ac:dyDescent="0.3"/>
  <cols>
    <col min="1" max="1" width="3.85546875" style="2" customWidth="1"/>
    <col min="2" max="2" width="26.85546875" style="2" customWidth="1"/>
    <col min="3" max="3" width="46.42578125" style="2" customWidth="1"/>
    <col min="4" max="4" width="12.85546875" style="2" customWidth="1"/>
    <col min="5" max="5" width="1.42578125" style="6" customWidth="1"/>
    <col min="6" max="59" width="8.7109375" style="6" hidden="1" customWidth="1"/>
    <col min="60" max="60" width="1.85546875" style="6" customWidth="1"/>
    <col min="61" max="121" width="8.7109375" style="6" customWidth="1"/>
    <col min="122" max="16384" width="8.7109375" style="2"/>
  </cols>
  <sheetData>
    <row r="2" spans="2:121" x14ac:dyDescent="0.3">
      <c r="B2" s="29" t="s">
        <v>68</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x14ac:dyDescent="0.3">
      <c r="B3" s="1"/>
    </row>
    <row r="4" spans="2:121" hidden="1" outlineLevel="1" x14ac:dyDescent="0.3">
      <c r="B4" s="2" t="s">
        <v>80</v>
      </c>
      <c r="C4" s="3">
        <v>18</v>
      </c>
    </row>
    <row r="5" spans="2:121" s="6" customFormat="1" ht="13.5" customHeight="1" collapsed="1" x14ac:dyDescent="0.3">
      <c r="B5" s="39" t="s">
        <v>4</v>
      </c>
      <c r="C5" s="40"/>
      <c r="D5" s="41"/>
    </row>
    <row r="6" spans="2:121" s="6" customFormat="1" x14ac:dyDescent="0.3">
      <c r="B6" s="24" t="s">
        <v>81</v>
      </c>
      <c r="C6" s="25"/>
      <c r="D6" s="26"/>
    </row>
    <row r="7" spans="2:121" s="6" customFormat="1" x14ac:dyDescent="0.3">
      <c r="B7" s="24" t="s">
        <v>82</v>
      </c>
      <c r="C7" s="25"/>
      <c r="D7" s="26"/>
    </row>
    <row r="8" spans="2:121" s="6" customFormat="1" x14ac:dyDescent="0.3">
      <c r="B8" s="27" t="s">
        <v>70</v>
      </c>
      <c r="C8" s="28">
        <v>2017</v>
      </c>
      <c r="D8" s="26"/>
    </row>
    <row r="9" spans="2:121" s="6" customFormat="1" ht="68.099999999999994" customHeight="1" x14ac:dyDescent="0.3">
      <c r="B9" s="48" t="s">
        <v>83</v>
      </c>
      <c r="C9" s="49"/>
      <c r="D9" s="50"/>
    </row>
    <row r="10" spans="2:121" ht="12.75" x14ac:dyDescent="0.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x14ac:dyDescent="0.2">
      <c r="B11" s="31" t="s">
        <v>79</v>
      </c>
      <c r="C11" s="31"/>
    </row>
    <row r="12" spans="2:121" s="13" customFormat="1" x14ac:dyDescent="0.3">
      <c r="B12" s="32"/>
      <c r="C12" s="32"/>
      <c r="D12" s="33"/>
    </row>
    <row r="13" spans="2:121" ht="14.45" customHeight="1" x14ac:dyDescent="0.3">
      <c r="B13" s="21"/>
      <c r="C13" s="22"/>
      <c r="D13" s="23"/>
      <c r="E13" s="14"/>
      <c r="F13" s="42" t="s">
        <v>7</v>
      </c>
      <c r="G13" s="43"/>
      <c r="H13" s="43"/>
      <c r="I13" s="43"/>
      <c r="J13" s="43"/>
      <c r="K13" s="43"/>
      <c r="L13" s="43"/>
      <c r="M13" s="43"/>
      <c r="N13" s="43"/>
      <c r="O13" s="43"/>
      <c r="P13" s="43"/>
      <c r="Q13" s="43"/>
      <c r="R13" s="43"/>
      <c r="S13" s="43"/>
      <c r="T13" s="43"/>
      <c r="U13" s="43"/>
      <c r="V13" s="43"/>
      <c r="W13" s="44"/>
      <c r="X13" s="45" t="s">
        <v>23</v>
      </c>
      <c r="Y13" s="46"/>
      <c r="Z13" s="46"/>
      <c r="AA13" s="46"/>
      <c r="AB13" s="46"/>
      <c r="AC13" s="46"/>
      <c r="AD13" s="46"/>
      <c r="AE13" s="46"/>
      <c r="AF13" s="46"/>
      <c r="AG13" s="46"/>
      <c r="AH13" s="46"/>
      <c r="AI13" s="46"/>
      <c r="AJ13" s="46"/>
      <c r="AK13" s="46"/>
      <c r="AL13" s="46"/>
      <c r="AM13" s="46"/>
      <c r="AN13" s="46"/>
      <c r="AO13" s="46"/>
      <c r="AP13" s="47" t="s">
        <v>34</v>
      </c>
      <c r="AQ13" s="46"/>
      <c r="AR13" s="46"/>
      <c r="AS13" s="46"/>
      <c r="AT13" s="46"/>
      <c r="AU13" s="46"/>
      <c r="AV13" s="46"/>
      <c r="AW13" s="46"/>
      <c r="AX13" s="46"/>
      <c r="AY13" s="46"/>
      <c r="AZ13" s="46"/>
      <c r="BA13" s="46"/>
      <c r="BB13" s="46"/>
      <c r="BC13" s="46"/>
      <c r="BD13" s="46"/>
      <c r="BE13" s="46"/>
      <c r="BF13" s="46"/>
      <c r="BG13" s="46"/>
      <c r="BH13" s="14"/>
      <c r="BI13" s="35" t="s">
        <v>7</v>
      </c>
      <c r="BJ13" s="36"/>
      <c r="BK13" s="36"/>
      <c r="BL13" s="36"/>
      <c r="BM13" s="36"/>
      <c r="BN13" s="36"/>
      <c r="BO13" s="36"/>
      <c r="BP13" s="36"/>
      <c r="BQ13" s="36"/>
      <c r="BR13" s="36"/>
      <c r="BS13" s="36"/>
      <c r="BT13" s="36"/>
      <c r="BU13" s="36"/>
      <c r="BV13" s="36"/>
      <c r="BW13" s="36"/>
      <c r="BX13" s="36"/>
      <c r="BY13" s="36"/>
      <c r="BZ13" s="36"/>
      <c r="CA13" s="37" t="s">
        <v>23</v>
      </c>
      <c r="CB13" s="38"/>
      <c r="CC13" s="38"/>
      <c r="CD13" s="38"/>
      <c r="CE13" s="38"/>
      <c r="CF13" s="38"/>
      <c r="CG13" s="38"/>
      <c r="CH13" s="38"/>
      <c r="CI13" s="38"/>
      <c r="CJ13" s="38"/>
      <c r="CK13" s="38"/>
      <c r="CL13" s="38"/>
      <c r="CM13" s="38"/>
      <c r="CN13" s="38"/>
      <c r="CO13" s="38"/>
      <c r="CP13" s="38"/>
      <c r="CQ13" s="38"/>
      <c r="CR13" s="38"/>
      <c r="CS13" s="38"/>
      <c r="CT13" s="35" t="s">
        <v>34</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121" s="4" customFormat="1" ht="71.25" customHeight="1" x14ac:dyDescent="0.2">
      <c r="B14" s="34" t="s">
        <v>69</v>
      </c>
      <c r="C14" s="19" t="s">
        <v>1</v>
      </c>
      <c r="D14" s="20" t="s">
        <v>84</v>
      </c>
      <c r="E14" s="14"/>
      <c r="F14" s="15" t="s">
        <v>8</v>
      </c>
      <c r="G14" s="15" t="s">
        <v>71</v>
      </c>
      <c r="H14" s="15" t="s">
        <v>9</v>
      </c>
      <c r="I14" s="15" t="s">
        <v>10</v>
      </c>
      <c r="J14" s="15" t="s">
        <v>11</v>
      </c>
      <c r="K14" s="15" t="s">
        <v>12</v>
      </c>
      <c r="L14" s="15" t="s">
        <v>13</v>
      </c>
      <c r="M14" s="15" t="s">
        <v>72</v>
      </c>
      <c r="N14" s="15" t="s">
        <v>14</v>
      </c>
      <c r="O14" s="15" t="s">
        <v>15</v>
      </c>
      <c r="P14" s="15" t="s">
        <v>16</v>
      </c>
      <c r="Q14" s="15" t="s">
        <v>17</v>
      </c>
      <c r="R14" s="15" t="s">
        <v>18</v>
      </c>
      <c r="S14" s="15" t="s">
        <v>19</v>
      </c>
      <c r="T14" s="15" t="s">
        <v>20</v>
      </c>
      <c r="U14" s="15" t="s">
        <v>21</v>
      </c>
      <c r="V14" s="15" t="s">
        <v>22</v>
      </c>
      <c r="W14" s="15" t="s">
        <v>49</v>
      </c>
      <c r="X14" s="15" t="s">
        <v>24</v>
      </c>
      <c r="Y14" s="15" t="s">
        <v>27</v>
      </c>
      <c r="Z14" s="16" t="s">
        <v>50</v>
      </c>
      <c r="AA14" s="15" t="s">
        <v>26</v>
      </c>
      <c r="AB14" s="16" t="s">
        <v>25</v>
      </c>
      <c r="AC14" s="15" t="s">
        <v>51</v>
      </c>
      <c r="AD14" s="15" t="s">
        <v>52</v>
      </c>
      <c r="AE14" s="15" t="s">
        <v>53</v>
      </c>
      <c r="AF14" s="15" t="s">
        <v>0</v>
      </c>
      <c r="AG14" s="15" t="s">
        <v>28</v>
      </c>
      <c r="AH14" s="15" t="s">
        <v>54</v>
      </c>
      <c r="AI14" s="15" t="s">
        <v>29</v>
      </c>
      <c r="AJ14" s="15" t="s">
        <v>30</v>
      </c>
      <c r="AK14" s="15" t="s">
        <v>31</v>
      </c>
      <c r="AL14" s="15" t="s">
        <v>32</v>
      </c>
      <c r="AM14" s="16" t="s">
        <v>55</v>
      </c>
      <c r="AN14" s="16" t="s">
        <v>56</v>
      </c>
      <c r="AO14" s="15" t="s">
        <v>49</v>
      </c>
      <c r="AP14" s="15" t="s">
        <v>73</v>
      </c>
      <c r="AQ14" s="15" t="s">
        <v>57</v>
      </c>
      <c r="AR14" s="15" t="s">
        <v>58</v>
      </c>
      <c r="AS14" s="15" t="s">
        <v>59</v>
      </c>
      <c r="AT14" s="15" t="s">
        <v>60</v>
      </c>
      <c r="AU14" s="15" t="s">
        <v>61</v>
      </c>
      <c r="AV14" s="15" t="s">
        <v>62</v>
      </c>
      <c r="AW14" s="16" t="s">
        <v>74</v>
      </c>
      <c r="AX14" s="15" t="s">
        <v>75</v>
      </c>
      <c r="AY14" s="15" t="s">
        <v>36</v>
      </c>
      <c r="AZ14" s="15" t="s">
        <v>37</v>
      </c>
      <c r="BA14" s="15" t="s">
        <v>33</v>
      </c>
      <c r="BB14" s="15" t="s">
        <v>38</v>
      </c>
      <c r="BC14" s="15" t="s">
        <v>39</v>
      </c>
      <c r="BD14" s="15" t="s">
        <v>40</v>
      </c>
      <c r="BE14" s="15" t="s">
        <v>41</v>
      </c>
      <c r="BF14" s="15" t="s">
        <v>42</v>
      </c>
      <c r="BG14" s="15" t="s">
        <v>43</v>
      </c>
      <c r="BH14" s="14"/>
      <c r="BI14" s="15" t="s">
        <v>8</v>
      </c>
      <c r="BJ14" s="15" t="s">
        <v>76</v>
      </c>
      <c r="BK14" s="15" t="s">
        <v>9</v>
      </c>
      <c r="BL14" s="15" t="s">
        <v>10</v>
      </c>
      <c r="BM14" s="15" t="s">
        <v>11</v>
      </c>
      <c r="BN14" s="15" t="s">
        <v>12</v>
      </c>
      <c r="BO14" s="15" t="s">
        <v>13</v>
      </c>
      <c r="BP14" s="15" t="s">
        <v>77</v>
      </c>
      <c r="BQ14" s="15" t="s">
        <v>14</v>
      </c>
      <c r="BR14" s="15" t="s">
        <v>15</v>
      </c>
      <c r="BS14" s="15" t="s">
        <v>16</v>
      </c>
      <c r="BT14" s="15" t="s">
        <v>17</v>
      </c>
      <c r="BU14" s="15" t="s">
        <v>18</v>
      </c>
      <c r="BV14" s="15" t="s">
        <v>19</v>
      </c>
      <c r="BW14" s="15" t="s">
        <v>20</v>
      </c>
      <c r="BX14" s="15" t="s">
        <v>21</v>
      </c>
      <c r="BY14" s="15" t="s">
        <v>78</v>
      </c>
      <c r="BZ14" s="15" t="s">
        <v>49</v>
      </c>
      <c r="CA14" s="15" t="s">
        <v>24</v>
      </c>
      <c r="CB14" s="15" t="s">
        <v>27</v>
      </c>
      <c r="CC14" s="15" t="s">
        <v>50</v>
      </c>
      <c r="CD14" s="15" t="s">
        <v>26</v>
      </c>
      <c r="CE14" s="15" t="s">
        <v>25</v>
      </c>
      <c r="CF14" s="15" t="s">
        <v>51</v>
      </c>
      <c r="CG14" s="15" t="s">
        <v>52</v>
      </c>
      <c r="CH14" s="15" t="s">
        <v>63</v>
      </c>
      <c r="CI14" s="15" t="s">
        <v>53</v>
      </c>
      <c r="CJ14" s="15" t="s">
        <v>0</v>
      </c>
      <c r="CK14" s="15" t="s">
        <v>28</v>
      </c>
      <c r="CL14" s="15" t="s">
        <v>54</v>
      </c>
      <c r="CM14" s="15" t="s">
        <v>29</v>
      </c>
      <c r="CN14" s="15" t="s">
        <v>30</v>
      </c>
      <c r="CO14" s="15" t="s">
        <v>31</v>
      </c>
      <c r="CP14" s="15" t="s">
        <v>32</v>
      </c>
      <c r="CQ14" s="15" t="s">
        <v>55</v>
      </c>
      <c r="CR14" s="15" t="s">
        <v>56</v>
      </c>
      <c r="CS14" s="16" t="s">
        <v>49</v>
      </c>
      <c r="CT14" s="15" t="s">
        <v>35</v>
      </c>
      <c r="CU14" s="15" t="s">
        <v>57</v>
      </c>
      <c r="CV14" s="15" t="s">
        <v>58</v>
      </c>
      <c r="CW14" s="15" t="s">
        <v>59</v>
      </c>
      <c r="CX14" s="15" t="s">
        <v>60</v>
      </c>
      <c r="CY14" s="15" t="s">
        <v>61</v>
      </c>
      <c r="CZ14" s="15" t="s">
        <v>62</v>
      </c>
      <c r="DA14" s="17" t="s">
        <v>64</v>
      </c>
      <c r="DB14" s="15" t="s">
        <v>65</v>
      </c>
      <c r="DC14" s="15" t="s">
        <v>36</v>
      </c>
      <c r="DD14" s="15" t="s">
        <v>37</v>
      </c>
      <c r="DE14" s="15" t="s">
        <v>66</v>
      </c>
      <c r="DF14" s="15" t="s">
        <v>33</v>
      </c>
      <c r="DG14" s="15" t="s">
        <v>67</v>
      </c>
      <c r="DH14" s="15" t="s">
        <v>38</v>
      </c>
      <c r="DI14" s="15" t="s">
        <v>39</v>
      </c>
      <c r="DJ14" s="15" t="s">
        <v>40</v>
      </c>
      <c r="DK14" s="15" t="s">
        <v>41</v>
      </c>
      <c r="DL14" s="15" t="s">
        <v>42</v>
      </c>
      <c r="DM14" s="15" t="s">
        <v>43</v>
      </c>
      <c r="DN14" s="15" t="s">
        <v>44</v>
      </c>
      <c r="DO14" s="15" t="s">
        <v>45</v>
      </c>
      <c r="DP14" s="15" t="s">
        <v>46</v>
      </c>
      <c r="DQ14" s="15" t="s">
        <v>47</v>
      </c>
    </row>
    <row r="15" spans="2:121" s="5" customFormat="1" x14ac:dyDescent="0.3">
      <c r="B15" s="11">
        <v>1</v>
      </c>
      <c r="C15" s="12" t="s">
        <v>2</v>
      </c>
      <c r="D15" s="9">
        <v>336.25</v>
      </c>
      <c r="E15" s="14"/>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4"/>
      <c r="BI15" s="18"/>
      <c r="BJ15" s="18"/>
      <c r="BK15" s="18"/>
      <c r="BL15" s="18"/>
      <c r="BM15" s="18"/>
      <c r="BN15" s="18"/>
      <c r="BO15" s="18"/>
      <c r="BP15" s="18">
        <v>336.25</v>
      </c>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121" x14ac:dyDescent="0.3">
      <c r="B16" s="11">
        <v>2</v>
      </c>
      <c r="C16" s="12" t="s">
        <v>5</v>
      </c>
      <c r="D16" s="9">
        <v>524</v>
      </c>
      <c r="E16" s="14"/>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4"/>
      <c r="BI16" s="18"/>
      <c r="BJ16" s="18"/>
      <c r="BK16" s="18"/>
      <c r="BL16" s="18"/>
      <c r="BM16" s="18"/>
      <c r="BN16" s="18"/>
      <c r="BO16" s="18"/>
      <c r="BP16" s="18">
        <v>174.67</v>
      </c>
      <c r="BQ16" s="18"/>
      <c r="BR16" s="18"/>
      <c r="BS16" s="18"/>
      <c r="BT16" s="18"/>
      <c r="BU16" s="18"/>
      <c r="BV16" s="18"/>
      <c r="BW16" s="18"/>
      <c r="BX16" s="18"/>
      <c r="BY16" s="18">
        <v>174.66</v>
      </c>
      <c r="BZ16" s="18"/>
      <c r="CA16" s="18"/>
      <c r="CB16" s="18"/>
      <c r="CC16" s="18"/>
      <c r="CD16" s="18"/>
      <c r="CE16" s="18"/>
      <c r="CF16" s="18"/>
      <c r="CG16" s="18">
        <v>174.67</v>
      </c>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x14ac:dyDescent="0.3">
      <c r="B17" s="11">
        <v>3</v>
      </c>
      <c r="C17" s="12" t="s">
        <v>3</v>
      </c>
      <c r="D17" s="9">
        <v>2832.76</v>
      </c>
      <c r="E17" s="14"/>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4"/>
      <c r="BI17" s="18"/>
      <c r="BJ17" s="18"/>
      <c r="BK17" s="18"/>
      <c r="BL17" s="18"/>
      <c r="BM17" s="18"/>
      <c r="BN17" s="18"/>
      <c r="BO17" s="18"/>
      <c r="BP17" s="18"/>
      <c r="BQ17" s="18"/>
      <c r="BR17" s="18"/>
      <c r="BS17" s="18"/>
      <c r="BT17" s="18"/>
      <c r="BU17" s="18"/>
      <c r="BV17" s="18"/>
      <c r="BW17" s="18"/>
      <c r="BX17" s="18"/>
      <c r="BY17" s="18"/>
      <c r="BZ17" s="18"/>
      <c r="CA17" s="18"/>
      <c r="CB17" s="18"/>
      <c r="CC17" s="18"/>
      <c r="CD17" s="18">
        <v>566.54999999999995</v>
      </c>
      <c r="CE17" s="18"/>
      <c r="CF17" s="18">
        <v>566.54999999999995</v>
      </c>
      <c r="CG17" s="18">
        <v>566.54999999999995</v>
      </c>
      <c r="CH17" s="18"/>
      <c r="CI17" s="18"/>
      <c r="CJ17" s="18"/>
      <c r="CK17" s="18"/>
      <c r="CL17" s="18"/>
      <c r="CM17" s="18"/>
      <c r="CN17" s="18"/>
      <c r="CO17" s="18"/>
      <c r="CP17" s="18"/>
      <c r="CQ17" s="18"/>
      <c r="CR17" s="18"/>
      <c r="CS17" s="18"/>
      <c r="CT17" s="18">
        <v>566.54999999999995</v>
      </c>
      <c r="CU17" s="18"/>
      <c r="CV17" s="18"/>
      <c r="CW17" s="18"/>
      <c r="CX17" s="18"/>
      <c r="CY17" s="18"/>
      <c r="CZ17" s="18"/>
      <c r="DA17" s="18"/>
      <c r="DB17" s="18"/>
      <c r="DC17" s="18">
        <v>566.54999999999995</v>
      </c>
      <c r="DD17" s="18"/>
      <c r="DE17" s="18"/>
      <c r="DF17" s="18"/>
      <c r="DG17" s="18"/>
      <c r="DH17" s="18"/>
      <c r="DI17" s="18"/>
      <c r="DJ17" s="18"/>
      <c r="DK17" s="18"/>
      <c r="DL17" s="18"/>
      <c r="DM17" s="18"/>
      <c r="DN17" s="18"/>
      <c r="DO17" s="18"/>
      <c r="DP17" s="18"/>
      <c r="DQ17" s="18"/>
    </row>
    <row r="18" spans="2:121" x14ac:dyDescent="0.3">
      <c r="B18" s="11">
        <v>4</v>
      </c>
      <c r="C18" s="12" t="s">
        <v>6</v>
      </c>
      <c r="D18" s="9">
        <v>4008.76</v>
      </c>
      <c r="E18" s="14"/>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9">
        <v>4008.76</v>
      </c>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x14ac:dyDescent="0.3">
      <c r="B19" s="11">
        <v>5</v>
      </c>
      <c r="C19" s="12" t="s">
        <v>85</v>
      </c>
      <c r="D19" s="9"/>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x14ac:dyDescent="0.3">
      <c r="B20" s="11">
        <v>6</v>
      </c>
      <c r="C20" s="12" t="s">
        <v>86</v>
      </c>
      <c r="D20" s="9"/>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row>
    <row r="21" spans="2:121" x14ac:dyDescent="0.3">
      <c r="B21" s="11">
        <v>7</v>
      </c>
      <c r="C21" s="12"/>
      <c r="D21" s="9"/>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x14ac:dyDescent="0.3">
      <c r="B22" s="11">
        <v>8</v>
      </c>
      <c r="C22" s="12"/>
      <c r="D22" s="9"/>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x14ac:dyDescent="0.3">
      <c r="B23" s="11">
        <v>9</v>
      </c>
      <c r="C23" s="12"/>
      <c r="D23" s="9"/>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x14ac:dyDescent="0.3">
      <c r="B24" s="11">
        <v>10</v>
      </c>
      <c r="C24" s="12"/>
      <c r="D24" s="9"/>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x14ac:dyDescent="0.3">
      <c r="B25" s="11">
        <v>11</v>
      </c>
      <c r="C25" s="12"/>
      <c r="D25" s="9"/>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x14ac:dyDescent="0.3">
      <c r="B26" s="11">
        <v>12</v>
      </c>
      <c r="C26" s="12"/>
      <c r="D26" s="9"/>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x14ac:dyDescent="0.3">
      <c r="B27" s="11">
        <v>13</v>
      </c>
      <c r="C27" s="12"/>
      <c r="D27" s="9"/>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x14ac:dyDescent="0.3">
      <c r="B28" s="11">
        <v>14</v>
      </c>
      <c r="C28" s="12"/>
      <c r="D28" s="9"/>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x14ac:dyDescent="0.3">
      <c r="B29" s="11">
        <v>15</v>
      </c>
      <c r="C29" s="12"/>
      <c r="D29" s="9"/>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x14ac:dyDescent="0.3">
      <c r="B30" s="11">
        <v>16</v>
      </c>
      <c r="C30" s="12"/>
      <c r="D30" s="9"/>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x14ac:dyDescent="0.3">
      <c r="B31" s="11">
        <v>17</v>
      </c>
      <c r="C31" s="12"/>
      <c r="D31" s="9"/>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x14ac:dyDescent="0.3">
      <c r="B32" s="11">
        <v>18</v>
      </c>
      <c r="C32" s="12"/>
      <c r="D32" s="9"/>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4" spans="2:121" x14ac:dyDescent="0.3">
      <c r="B34" s="7"/>
      <c r="C34" s="7" t="s">
        <v>48</v>
      </c>
      <c r="D34" s="10">
        <f>SUM(D15:D33)</f>
        <v>7701.77</v>
      </c>
      <c r="F34" s="10">
        <f t="shared" ref="F34:AK34" si="0">SUM(F15:F33)</f>
        <v>0</v>
      </c>
      <c r="G34" s="10">
        <f t="shared" si="0"/>
        <v>0</v>
      </c>
      <c r="H34" s="10">
        <f t="shared" si="0"/>
        <v>0</v>
      </c>
      <c r="I34" s="10">
        <f t="shared" si="0"/>
        <v>0</v>
      </c>
      <c r="J34" s="10">
        <f t="shared" si="0"/>
        <v>0</v>
      </c>
      <c r="K34" s="10">
        <f t="shared" si="0"/>
        <v>0</v>
      </c>
      <c r="L34" s="10">
        <f t="shared" si="0"/>
        <v>0</v>
      </c>
      <c r="M34" s="10">
        <f t="shared" si="0"/>
        <v>0</v>
      </c>
      <c r="N34" s="10">
        <f t="shared" si="0"/>
        <v>0</v>
      </c>
      <c r="O34" s="10">
        <f t="shared" si="0"/>
        <v>0</v>
      </c>
      <c r="P34" s="10">
        <f t="shared" si="0"/>
        <v>0</v>
      </c>
      <c r="Q34" s="10">
        <f t="shared" si="0"/>
        <v>0</v>
      </c>
      <c r="R34" s="10">
        <f t="shared" si="0"/>
        <v>0</v>
      </c>
      <c r="S34" s="10">
        <f t="shared" si="0"/>
        <v>0</v>
      </c>
      <c r="T34" s="10">
        <f t="shared" si="0"/>
        <v>0</v>
      </c>
      <c r="U34" s="10">
        <f t="shared" si="0"/>
        <v>0</v>
      </c>
      <c r="V34" s="10">
        <f t="shared" si="0"/>
        <v>0</v>
      </c>
      <c r="W34" s="10">
        <f t="shared" si="0"/>
        <v>0</v>
      </c>
      <c r="X34" s="10">
        <f t="shared" si="0"/>
        <v>0</v>
      </c>
      <c r="Y34" s="10">
        <f t="shared" si="0"/>
        <v>0</v>
      </c>
      <c r="Z34" s="10">
        <f t="shared" si="0"/>
        <v>0</v>
      </c>
      <c r="AA34" s="10">
        <f t="shared" si="0"/>
        <v>0</v>
      </c>
      <c r="AB34" s="10">
        <f t="shared" si="0"/>
        <v>0</v>
      </c>
      <c r="AC34" s="10">
        <f t="shared" si="0"/>
        <v>0</v>
      </c>
      <c r="AD34" s="10">
        <f t="shared" si="0"/>
        <v>0</v>
      </c>
      <c r="AE34" s="10">
        <f t="shared" si="0"/>
        <v>0</v>
      </c>
      <c r="AF34" s="10">
        <f t="shared" si="0"/>
        <v>0</v>
      </c>
      <c r="AG34" s="10">
        <f t="shared" si="0"/>
        <v>0</v>
      </c>
      <c r="AH34" s="10">
        <f t="shared" si="0"/>
        <v>0</v>
      </c>
      <c r="AI34" s="10">
        <f t="shared" si="0"/>
        <v>0</v>
      </c>
      <c r="AJ34" s="10">
        <f t="shared" si="0"/>
        <v>0</v>
      </c>
      <c r="AK34" s="10">
        <f t="shared" si="0"/>
        <v>0</v>
      </c>
      <c r="AL34" s="10">
        <f t="shared" ref="AL34:BG34" si="1">SUM(AL15:AL33)</f>
        <v>0</v>
      </c>
      <c r="AM34" s="10">
        <f t="shared" si="1"/>
        <v>0</v>
      </c>
      <c r="AN34" s="10">
        <f t="shared" si="1"/>
        <v>0</v>
      </c>
      <c r="AO34" s="10">
        <f t="shared" si="1"/>
        <v>0</v>
      </c>
      <c r="AP34" s="10">
        <f t="shared" si="1"/>
        <v>0</v>
      </c>
      <c r="AQ34" s="10">
        <f t="shared" si="1"/>
        <v>0</v>
      </c>
      <c r="AR34" s="10">
        <f t="shared" si="1"/>
        <v>0</v>
      </c>
      <c r="AS34" s="10">
        <f t="shared" si="1"/>
        <v>0</v>
      </c>
      <c r="AT34" s="10">
        <f t="shared" si="1"/>
        <v>0</v>
      </c>
      <c r="AU34" s="10">
        <f t="shared" si="1"/>
        <v>0</v>
      </c>
      <c r="AV34" s="10">
        <f t="shared" si="1"/>
        <v>0</v>
      </c>
      <c r="AW34" s="10">
        <f t="shared" si="1"/>
        <v>0</v>
      </c>
      <c r="AX34" s="10">
        <f t="shared" si="1"/>
        <v>0</v>
      </c>
      <c r="AY34" s="10">
        <f t="shared" si="1"/>
        <v>0</v>
      </c>
      <c r="AZ34" s="10">
        <f t="shared" si="1"/>
        <v>0</v>
      </c>
      <c r="BA34" s="10">
        <f t="shared" si="1"/>
        <v>0</v>
      </c>
      <c r="BB34" s="10">
        <f t="shared" si="1"/>
        <v>0</v>
      </c>
      <c r="BC34" s="10">
        <f t="shared" si="1"/>
        <v>0</v>
      </c>
      <c r="BD34" s="10">
        <f t="shared" si="1"/>
        <v>0</v>
      </c>
      <c r="BE34" s="10">
        <f t="shared" si="1"/>
        <v>0</v>
      </c>
      <c r="BF34" s="10">
        <f t="shared" si="1"/>
        <v>0</v>
      </c>
      <c r="BG34" s="10">
        <f t="shared" si="1"/>
        <v>0</v>
      </c>
      <c r="BI34" s="10">
        <f t="shared" ref="BI34:CN34" si="2">SUM(BI15:BI33)</f>
        <v>0</v>
      </c>
      <c r="BJ34" s="10">
        <f t="shared" si="2"/>
        <v>0</v>
      </c>
      <c r="BK34" s="10">
        <f t="shared" si="2"/>
        <v>0</v>
      </c>
      <c r="BL34" s="10">
        <f t="shared" si="2"/>
        <v>0</v>
      </c>
      <c r="BM34" s="10">
        <f t="shared" si="2"/>
        <v>0</v>
      </c>
      <c r="BN34" s="10">
        <f t="shared" si="2"/>
        <v>0</v>
      </c>
      <c r="BO34" s="10">
        <f t="shared" si="2"/>
        <v>0</v>
      </c>
      <c r="BP34" s="10">
        <f t="shared" si="2"/>
        <v>510.91999999999996</v>
      </c>
      <c r="BQ34" s="10">
        <f t="shared" si="2"/>
        <v>0</v>
      </c>
      <c r="BR34" s="10">
        <f t="shared" si="2"/>
        <v>0</v>
      </c>
      <c r="BS34" s="10">
        <f t="shared" si="2"/>
        <v>0</v>
      </c>
      <c r="BT34" s="10">
        <f t="shared" si="2"/>
        <v>0</v>
      </c>
      <c r="BU34" s="10">
        <f t="shared" si="2"/>
        <v>0</v>
      </c>
      <c r="BV34" s="10">
        <f t="shared" si="2"/>
        <v>0</v>
      </c>
      <c r="BW34" s="10">
        <f t="shared" si="2"/>
        <v>0</v>
      </c>
      <c r="BX34" s="10">
        <f t="shared" si="2"/>
        <v>0</v>
      </c>
      <c r="BY34" s="10">
        <f t="shared" si="2"/>
        <v>174.66</v>
      </c>
      <c r="BZ34" s="10">
        <f t="shared" si="2"/>
        <v>0</v>
      </c>
      <c r="CA34" s="10">
        <f t="shared" si="2"/>
        <v>0</v>
      </c>
      <c r="CB34" s="10">
        <f t="shared" si="2"/>
        <v>0</v>
      </c>
      <c r="CC34" s="10">
        <f t="shared" si="2"/>
        <v>0</v>
      </c>
      <c r="CD34" s="10">
        <f t="shared" si="2"/>
        <v>566.54999999999995</v>
      </c>
      <c r="CE34" s="10">
        <f t="shared" si="2"/>
        <v>0</v>
      </c>
      <c r="CF34" s="10">
        <f t="shared" si="2"/>
        <v>4575.3100000000004</v>
      </c>
      <c r="CG34" s="10">
        <f t="shared" si="2"/>
        <v>741.21999999999991</v>
      </c>
      <c r="CH34" s="10">
        <f t="shared" si="2"/>
        <v>0</v>
      </c>
      <c r="CI34" s="10">
        <f t="shared" si="2"/>
        <v>0</v>
      </c>
      <c r="CJ34" s="10">
        <f t="shared" si="2"/>
        <v>0</v>
      </c>
      <c r="CK34" s="10">
        <f t="shared" si="2"/>
        <v>0</v>
      </c>
      <c r="CL34" s="10">
        <f t="shared" si="2"/>
        <v>0</v>
      </c>
      <c r="CM34" s="10">
        <f t="shared" si="2"/>
        <v>0</v>
      </c>
      <c r="CN34" s="10">
        <f t="shared" si="2"/>
        <v>0</v>
      </c>
      <c r="CO34" s="10">
        <f t="shared" ref="CO34:DQ34" si="3">SUM(CO15:CO33)</f>
        <v>0</v>
      </c>
      <c r="CP34" s="10">
        <f t="shared" si="3"/>
        <v>0</v>
      </c>
      <c r="CQ34" s="10">
        <f t="shared" si="3"/>
        <v>0</v>
      </c>
      <c r="CR34" s="10">
        <f t="shared" si="3"/>
        <v>0</v>
      </c>
      <c r="CS34" s="10">
        <f t="shared" si="3"/>
        <v>0</v>
      </c>
      <c r="CT34" s="10">
        <f t="shared" si="3"/>
        <v>566.54999999999995</v>
      </c>
      <c r="CU34" s="10">
        <f t="shared" si="3"/>
        <v>0</v>
      </c>
      <c r="CV34" s="10">
        <f t="shared" si="3"/>
        <v>0</v>
      </c>
      <c r="CW34" s="10">
        <f t="shared" si="3"/>
        <v>0</v>
      </c>
      <c r="CX34" s="10">
        <f t="shared" si="3"/>
        <v>0</v>
      </c>
      <c r="CY34" s="10">
        <f t="shared" si="3"/>
        <v>0</v>
      </c>
      <c r="CZ34" s="10">
        <f t="shared" si="3"/>
        <v>0</v>
      </c>
      <c r="DA34" s="10">
        <f t="shared" si="3"/>
        <v>0</v>
      </c>
      <c r="DB34" s="10">
        <f t="shared" si="3"/>
        <v>0</v>
      </c>
      <c r="DC34" s="10">
        <f t="shared" si="3"/>
        <v>566.54999999999995</v>
      </c>
      <c r="DD34" s="10">
        <f t="shared" si="3"/>
        <v>0</v>
      </c>
      <c r="DE34" s="10">
        <f t="shared" si="3"/>
        <v>0</v>
      </c>
      <c r="DF34" s="10">
        <f t="shared" si="3"/>
        <v>0</v>
      </c>
      <c r="DG34" s="10">
        <f t="shared" si="3"/>
        <v>0</v>
      </c>
      <c r="DH34" s="10">
        <f t="shared" si="3"/>
        <v>0</v>
      </c>
      <c r="DI34" s="10">
        <f t="shared" si="3"/>
        <v>0</v>
      </c>
      <c r="DJ34" s="10">
        <f t="shared" si="3"/>
        <v>0</v>
      </c>
      <c r="DK34" s="10">
        <f t="shared" si="3"/>
        <v>0</v>
      </c>
      <c r="DL34" s="10">
        <f t="shared" si="3"/>
        <v>0</v>
      </c>
      <c r="DM34" s="10">
        <f t="shared" si="3"/>
        <v>0</v>
      </c>
      <c r="DN34" s="10">
        <f t="shared" si="3"/>
        <v>0</v>
      </c>
      <c r="DO34" s="10">
        <f t="shared" si="3"/>
        <v>0</v>
      </c>
      <c r="DP34" s="10">
        <f t="shared" si="3"/>
        <v>0</v>
      </c>
      <c r="DQ34" s="10">
        <f t="shared" si="3"/>
        <v>0</v>
      </c>
    </row>
    <row r="35" spans="2:121" s="8" customFormat="1" x14ac:dyDescent="0.3">
      <c r="B35" s="2"/>
      <c r="C35" s="2"/>
      <c r="D35" s="2"/>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row>
  </sheetData>
  <sheetProtection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F15:BG32 BI15:CE32 CG15:DQ32 CF15:CF17 CF19:CF32">
      <formula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57150</xdr:colOff>
                    <xdr:row>14</xdr:row>
                    <xdr:rowOff>28575</xdr:rowOff>
                  </from>
                  <to>
                    <xdr:col>1</xdr:col>
                    <xdr:colOff>1143000</xdr:colOff>
                    <xdr:row>14</xdr:row>
                    <xdr:rowOff>247650</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1209675</xdr:colOff>
                    <xdr:row>14</xdr:row>
                    <xdr:rowOff>28575</xdr:rowOff>
                  </from>
                  <to>
                    <xdr:col>1</xdr:col>
                    <xdr:colOff>2286000</xdr:colOff>
                    <xdr:row>14</xdr:row>
                    <xdr:rowOff>247650</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2705100</xdr:colOff>
                    <xdr:row>10</xdr:row>
                    <xdr:rowOff>0</xdr:rowOff>
                  </from>
                  <to>
                    <xdr:col>2</xdr:col>
                    <xdr:colOff>4333875</xdr:colOff>
                    <xdr:row>11</xdr:row>
                    <xdr:rowOff>9525</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4552950</xdr:colOff>
                    <xdr:row>10</xdr:row>
                    <xdr:rowOff>0</xdr:rowOff>
                  </from>
                  <to>
                    <xdr:col>3</xdr:col>
                    <xdr:colOff>1190625</xdr:colOff>
                    <xdr:row>11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kim</cp:lastModifiedBy>
  <dcterms:created xsi:type="dcterms:W3CDTF">2018-04-04T07:34:36Z</dcterms:created>
  <dcterms:modified xsi:type="dcterms:W3CDTF">2018-08-23T07:43:07Z</dcterms:modified>
</cp:coreProperties>
</file>